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onid\PycharmProjects\scheduleApplication\src\tables\"/>
    </mc:Choice>
  </mc:AlternateContent>
  <xr:revisionPtr revIDLastSave="0" documentId="13_ncr:1_{70177704-990C-43A7-84B4-95CFD9843AA0}" xr6:coauthVersionLast="47" xr6:coauthVersionMax="47" xr10:uidLastSave="{00000000-0000-0000-0000-000000000000}"/>
  <bookViews>
    <workbookView xWindow="-21705" yWindow="-15300" windowWidth="21810" windowHeight="12915" xr2:uid="{00000000-000D-0000-FFFF-FFFF00000000}"/>
  </bookViews>
  <sheets>
    <sheet name="List1" sheetId="1" r:id="rId1"/>
    <sheet name="List2" sheetId="2" r:id="rId2"/>
    <sheet name="Lis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23" i="1" l="1"/>
  <c r="E23" i="1"/>
  <c r="D23" i="1" s="1"/>
  <c r="AZ22" i="1"/>
  <c r="E22" i="1"/>
  <c r="D22" i="1" s="1"/>
  <c r="AZ21" i="1"/>
  <c r="E21" i="1"/>
  <c r="D21" i="1" s="1"/>
  <c r="AZ20" i="1"/>
  <c r="E20" i="1"/>
  <c r="D20" i="1" s="1"/>
  <c r="AZ19" i="1"/>
  <c r="E19" i="1"/>
  <c r="D19" i="1" s="1"/>
  <c r="AZ18" i="1"/>
  <c r="E18" i="1"/>
  <c r="D18" i="1"/>
  <c r="AZ17" i="1"/>
  <c r="E17" i="1"/>
  <c r="D17" i="1"/>
  <c r="AZ16" i="1"/>
  <c r="E16" i="1"/>
  <c r="D16" i="1" s="1"/>
  <c r="AZ15" i="1"/>
  <c r="E15" i="1"/>
  <c r="D15" i="1" s="1"/>
  <c r="AZ14" i="1"/>
  <c r="E14" i="1"/>
  <c r="D14" i="1"/>
  <c r="AZ13" i="1"/>
  <c r="E13" i="1"/>
  <c r="D13" i="1"/>
  <c r="AZ12" i="1"/>
  <c r="E12" i="1"/>
  <c r="D12" i="1" s="1"/>
  <c r="AZ11" i="1"/>
  <c r="E11" i="1"/>
  <c r="D11" i="1" s="1"/>
  <c r="AZ10" i="1"/>
  <c r="E10" i="1"/>
  <c r="D10" i="1"/>
  <c r="AZ9" i="1"/>
  <c r="E9" i="1"/>
  <c r="D9" i="1"/>
  <c r="AZ8" i="1"/>
  <c r="E8" i="1"/>
  <c r="D8" i="1" s="1"/>
  <c r="AZ7" i="1"/>
  <c r="E7" i="1"/>
  <c r="D7" i="1" s="1"/>
  <c r="AZ6" i="1"/>
  <c r="E6" i="1"/>
  <c r="D6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</calcChain>
</file>

<file path=xl/sharedStrings.xml><?xml version="1.0" encoding="utf-8"?>
<sst xmlns="http://schemas.openxmlformats.org/spreadsheetml/2006/main" count="183" uniqueCount="106">
  <si>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</si>
  <si>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</si>
  <si>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</si>
  <si>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</si>
  <si>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</si>
  <si>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</si>
  <si>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</si>
  <si>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</si>
  <si>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</si>
  <si>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</si>
  <si>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</si>
  <si>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</si>
  <si>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</si>
  <si>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</si>
  <si>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</si>
  <si>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</si>
  <si>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</si>
  <si>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</si>
  <si>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</si>
  <si>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</si>
  <si>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</si>
  <si>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</si>
  <si>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</si>
  <si>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</si>
  <si>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</si>
  <si>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</si>
  <si>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</si>
  <si>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</si>
  <si>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</si>
  <si>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</si>
  <si>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</si>
  <si>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</si>
  <si>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</si>
  <si>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</si>
  <si>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</si>
  <si>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</si>
  <si>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</si>
  <si>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</si>
  <si>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</si>
  <si>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</si>
  <si>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</si>
  <si>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</si>
  <si>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</si>
  <si>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STT</t>
  </si>
  <si>
    <t>LAT</t>
  </si>
  <si>
    <t>KOMB</t>
  </si>
  <si>
    <t>Br</t>
  </si>
  <si>
    <t>Sil</t>
  </si>
  <si>
    <t>E</t>
  </si>
  <si>
    <t>TL</t>
  </si>
  <si>
    <t>TPV Děti Solo</t>
  </si>
  <si>
    <t>TPV Jun Solo</t>
  </si>
  <si>
    <t xml:space="preserve">Jun 1 </t>
  </si>
  <si>
    <t>Děti 2</t>
  </si>
  <si>
    <t>TL TPV Jun1 Solo</t>
  </si>
  <si>
    <t>TL TPV Mla Solo</t>
  </si>
  <si>
    <t>TL TPV Dosp Solo</t>
  </si>
  <si>
    <t>TL TPV Jun2 Solo</t>
  </si>
  <si>
    <t>TL TPV Dosp Duo</t>
  </si>
  <si>
    <t>TL TPV Jun1 Duo</t>
  </si>
  <si>
    <t>TL TPV Mla Duo</t>
  </si>
  <si>
    <t>TL TPV Jun2 Duo</t>
  </si>
  <si>
    <t>ST/LA</t>
  </si>
  <si>
    <t>s</t>
  </si>
  <si>
    <t>sT</t>
  </si>
  <si>
    <t>A</t>
  </si>
  <si>
    <t>Bartoš Jaromír</t>
  </si>
  <si>
    <t>1/1</t>
  </si>
  <si>
    <t>B</t>
  </si>
  <si>
    <t>Bartuněk Petr</t>
  </si>
  <si>
    <t>C</t>
  </si>
  <si>
    <t>Elschek Walter</t>
  </si>
  <si>
    <t>D</t>
  </si>
  <si>
    <t>Hána Vladimír </t>
  </si>
  <si>
    <t>Holý Oldřich </t>
  </si>
  <si>
    <t>2/2</t>
  </si>
  <si>
    <t>F</t>
  </si>
  <si>
    <t>Jadlovský Jan </t>
  </si>
  <si>
    <t>G</t>
  </si>
  <si>
    <t>Mücková Kristýna </t>
  </si>
  <si>
    <t>H</t>
  </si>
  <si>
    <t>Nováček Dobromil </t>
  </si>
  <si>
    <t>I</t>
  </si>
  <si>
    <t>Pixa Jiří </t>
  </si>
  <si>
    <t>J</t>
  </si>
  <si>
    <t>Sedlecká Veronika </t>
  </si>
  <si>
    <t>3/3</t>
  </si>
  <si>
    <t>K</t>
  </si>
  <si>
    <t>Sekera Jan Carlos </t>
  </si>
  <si>
    <t>-/3</t>
  </si>
  <si>
    <t>L</t>
  </si>
  <si>
    <t>Schuller Jakub </t>
  </si>
  <si>
    <t>M</t>
  </si>
  <si>
    <t>Ševčík Jiří </t>
  </si>
  <si>
    <t>N</t>
  </si>
  <si>
    <t>Tancibudek Miloš </t>
  </si>
  <si>
    <t>O</t>
  </si>
  <si>
    <t>Třeštiková Andrea </t>
  </si>
  <si>
    <t>P</t>
  </si>
  <si>
    <t>Varnuška Michal </t>
  </si>
  <si>
    <t>Q</t>
  </si>
  <si>
    <t>Vild Pavel </t>
  </si>
  <si>
    <t>R</t>
  </si>
  <si>
    <t>Žáková Jaroslava </t>
  </si>
  <si>
    <t>id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</si>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</sst>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5"/>
      <name val="Calibri"/>
    </font>
    <font>
      <sz val="10"/>
      <color rgb="FF090A0B"/>
      <name val="Inter"/>
    </font>
    <font>
      <sz val="11"/>
      <color rgb="FF00B0F0"/>
      <name val="Calibri"/>
    </font>
    <font>
      <sz val="11"/>
      <color rgb="FFFF0000"/>
      <name val="Calibri"/>
    </font>
    <font>
      <sz val="11"/>
      <color theme="8"/>
      <name val="Calibri"/>
    </font>
    <font>
      <sz val="11"/>
      <color rgb="FF00B050"/>
      <name val="Calibri"/>
    </font>
    <font>
      <sz val="11"/>
      <color rgb="FFBFBFBF"/>
      <name val="Calibri"/>
    </font>
    <font>
      <sz val="12"/>
      <color theme="1"/>
      <name val="Calibri"/>
    </font>
    <font>
      <b/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E5B8B7"/>
        <bgColor rgb="FFE5B8B7"/>
      </patternFill>
    </fill>
    <fill>
      <patternFill patternType="solid">
        <fgColor rgb="FFDDD9C3"/>
        <bgColor rgb="FFDDD9C3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textRotation="90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0" xfId="0" applyFont="1"/>
    <xf numFmtId="0" fontId="1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"/>
  <sheetViews>
    <sheetView tabSelected="1" workbookViewId="0">
      <selection activeCell="C6" sqref="C6"/>
    </sheetView>
  </sheetViews>
  <sheetFormatPr defaultColWidth="14.42578125" defaultRowHeight="15" customHeight="1"/>
  <cols>
    <col min="1" max="1" width="4.85546875" customWidth="1"/>
    <col min="2" max="2" width="30.85546875" customWidth="1"/>
    <col min="3" max="3" width="5.85546875" customWidth="1"/>
    <col min="4" max="51" width="3.140625" customWidth="1"/>
    <col min="52" max="52" width="11.85546875" customWidth="1"/>
  </cols>
  <sheetData>
    <row r="1" spans="1:52" ht="14.25" customHeight="1">
      <c r="A1" s="1" t="s">
        <v>104</v>
      </c>
      <c r="B1" t="s">
        <v>105</v>
      </c>
      <c r="C1" s="2"/>
      <c r="D1" s="2"/>
      <c r="E1" s="2"/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/>
      <c r="AX1" s="2"/>
      <c r="AY1" s="2"/>
    </row>
    <row r="2" spans="1:52" ht="14.25" customHeight="1">
      <c r="C2" s="2"/>
      <c r="D2" s="2"/>
      <c r="E2" s="2"/>
      <c r="F2" s="3" t="s">
        <v>43</v>
      </c>
      <c r="G2" s="3" t="s">
        <v>43</v>
      </c>
      <c r="H2" s="3" t="s">
        <v>43</v>
      </c>
      <c r="I2" s="3" t="s">
        <v>43</v>
      </c>
      <c r="J2" s="3" t="s">
        <v>44</v>
      </c>
      <c r="K2" s="3" t="s">
        <v>44</v>
      </c>
      <c r="L2" s="3" t="s">
        <v>44</v>
      </c>
      <c r="M2" s="3" t="s">
        <v>44</v>
      </c>
      <c r="N2" s="3" t="s">
        <v>44</v>
      </c>
      <c r="O2" s="3" t="s">
        <v>43</v>
      </c>
      <c r="P2" s="3" t="s">
        <v>45</v>
      </c>
      <c r="Q2" s="3" t="s">
        <v>43</v>
      </c>
      <c r="R2" s="3" t="s">
        <v>43</v>
      </c>
      <c r="S2" s="3" t="s">
        <v>43</v>
      </c>
      <c r="T2" s="3" t="s">
        <v>43</v>
      </c>
      <c r="U2" s="3" t="s">
        <v>44</v>
      </c>
      <c r="V2" s="3" t="s">
        <v>44</v>
      </c>
      <c r="W2" s="3" t="s">
        <v>44</v>
      </c>
      <c r="X2" s="3" t="s">
        <v>44</v>
      </c>
      <c r="Y2" s="3" t="s">
        <v>44</v>
      </c>
      <c r="Z2" s="3" t="s">
        <v>44</v>
      </c>
      <c r="AA2" s="3" t="s">
        <v>44</v>
      </c>
      <c r="AB2" s="3" t="s">
        <v>44</v>
      </c>
      <c r="AC2" s="3" t="s">
        <v>43</v>
      </c>
      <c r="AD2" s="3" t="s">
        <v>43</v>
      </c>
      <c r="AE2" s="3" t="s">
        <v>43</v>
      </c>
      <c r="AF2" s="3" t="s">
        <v>43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 spans="1:52" ht="14.25" customHeight="1">
      <c r="C3" s="2"/>
      <c r="D3" s="2"/>
      <c r="E3" s="2"/>
      <c r="F3" s="3" t="s">
        <v>46</v>
      </c>
      <c r="G3" s="3" t="s">
        <v>47</v>
      </c>
      <c r="H3" s="3" t="s">
        <v>46</v>
      </c>
      <c r="I3" s="3" t="s">
        <v>47</v>
      </c>
      <c r="J3" s="3" t="s">
        <v>48</v>
      </c>
      <c r="K3" s="3" t="s">
        <v>46</v>
      </c>
      <c r="L3" s="3" t="s">
        <v>47</v>
      </c>
      <c r="M3" s="3" t="s">
        <v>46</v>
      </c>
      <c r="N3" s="3" t="s">
        <v>47</v>
      </c>
      <c r="O3" s="3" t="s">
        <v>48</v>
      </c>
      <c r="P3" s="3" t="s">
        <v>48</v>
      </c>
      <c r="Q3" s="3" t="s">
        <v>49</v>
      </c>
      <c r="R3" s="3" t="s">
        <v>49</v>
      </c>
      <c r="S3" s="3" t="s">
        <v>49</v>
      </c>
      <c r="T3" s="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s="3" t="s">
        <v>49</v>
      </c>
      <c r="AA3" s="3" t="s">
        <v>49</v>
      </c>
      <c r="AB3" s="3" t="s">
        <v>49</v>
      </c>
      <c r="AC3" s="3" t="s">
        <v>49</v>
      </c>
      <c r="AD3" s="3" t="s">
        <v>49</v>
      </c>
      <c r="AE3" s="3" t="s">
        <v>49</v>
      </c>
      <c r="AF3" s="3" t="s">
        <v>49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2" ht="14.25" customHeight="1">
      <c r="C4" s="2"/>
      <c r="D4" s="2"/>
      <c r="E4" s="2"/>
      <c r="F4" s="3" t="s">
        <v>50</v>
      </c>
      <c r="G4" s="3" t="s">
        <v>50</v>
      </c>
      <c r="H4" s="3" t="s">
        <v>51</v>
      </c>
      <c r="I4" s="3" t="s">
        <v>51</v>
      </c>
      <c r="J4" s="3" t="s">
        <v>52</v>
      </c>
      <c r="K4" s="3" t="s">
        <v>50</v>
      </c>
      <c r="L4" s="3" t="s">
        <v>50</v>
      </c>
      <c r="M4" s="3" t="s">
        <v>51</v>
      </c>
      <c r="N4" s="3" t="s">
        <v>51</v>
      </c>
      <c r="O4" s="3" t="s">
        <v>52</v>
      </c>
      <c r="P4" s="3" t="s">
        <v>53</v>
      </c>
      <c r="Q4" s="3" t="s">
        <v>54</v>
      </c>
      <c r="R4" s="3" t="s">
        <v>55</v>
      </c>
      <c r="S4" s="3" t="s">
        <v>56</v>
      </c>
      <c r="T4" s="3" t="s">
        <v>57</v>
      </c>
      <c r="U4" s="3" t="s">
        <v>58</v>
      </c>
      <c r="V4" s="3" t="s">
        <v>59</v>
      </c>
      <c r="W4" s="3" t="s">
        <v>60</v>
      </c>
      <c r="X4" s="3" t="s">
        <v>61</v>
      </c>
      <c r="Y4" s="3" t="s">
        <v>55</v>
      </c>
      <c r="Z4" s="3" t="s">
        <v>54</v>
      </c>
      <c r="AA4" s="3" t="s">
        <v>57</v>
      </c>
      <c r="AB4" s="3" t="s">
        <v>56</v>
      </c>
      <c r="AC4" s="3" t="s">
        <v>58</v>
      </c>
      <c r="AD4" s="3" t="s">
        <v>59</v>
      </c>
      <c r="AE4" s="3" t="s">
        <v>60</v>
      </c>
      <c r="AF4" s="3" t="s">
        <v>61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2" ht="15" customHeight="1">
      <c r="C5" s="2" t="s">
        <v>62</v>
      </c>
      <c r="D5" s="2" t="s">
        <v>63</v>
      </c>
      <c r="E5" s="2" t="s">
        <v>64</v>
      </c>
      <c r="F5" s="4">
        <f t="shared" ref="F5:AV5" si="0">SUM(F6:F23)</f>
        <v>6</v>
      </c>
      <c r="G5" s="4">
        <f t="shared" si="0"/>
        <v>5</v>
      </c>
      <c r="H5" s="4">
        <f t="shared" si="0"/>
        <v>5</v>
      </c>
      <c r="I5" s="4">
        <f t="shared" si="0"/>
        <v>5</v>
      </c>
      <c r="J5" s="4">
        <f t="shared" si="0"/>
        <v>7</v>
      </c>
      <c r="K5" s="4">
        <f t="shared" si="0"/>
        <v>5</v>
      </c>
      <c r="L5" s="4">
        <f t="shared" si="0"/>
        <v>5</v>
      </c>
      <c r="M5" s="4">
        <f t="shared" si="0"/>
        <v>5</v>
      </c>
      <c r="N5" s="4">
        <f t="shared" si="0"/>
        <v>5</v>
      </c>
      <c r="O5" s="4">
        <f t="shared" si="0"/>
        <v>7</v>
      </c>
      <c r="P5" s="4">
        <f t="shared" si="0"/>
        <v>7</v>
      </c>
      <c r="Q5" s="4">
        <f t="shared" si="0"/>
        <v>7</v>
      </c>
      <c r="R5" s="4">
        <f t="shared" si="0"/>
        <v>7</v>
      </c>
      <c r="S5" s="4">
        <f t="shared" si="0"/>
        <v>7</v>
      </c>
      <c r="T5" s="4">
        <f t="shared" si="0"/>
        <v>7</v>
      </c>
      <c r="U5" s="4">
        <f t="shared" si="0"/>
        <v>0</v>
      </c>
      <c r="V5" s="4">
        <f t="shared" si="0"/>
        <v>7</v>
      </c>
      <c r="W5" s="4">
        <f t="shared" si="0"/>
        <v>7</v>
      </c>
      <c r="X5" s="4">
        <f t="shared" si="0"/>
        <v>7</v>
      </c>
      <c r="Y5" s="4">
        <f t="shared" si="0"/>
        <v>7</v>
      </c>
      <c r="Z5" s="4">
        <f t="shared" si="0"/>
        <v>7</v>
      </c>
      <c r="AA5" s="4">
        <f t="shared" si="0"/>
        <v>7</v>
      </c>
      <c r="AB5" s="4">
        <f t="shared" si="0"/>
        <v>7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  <c r="AL5" s="4">
        <f t="shared" si="0"/>
        <v>0</v>
      </c>
      <c r="AM5" s="4">
        <f t="shared" si="0"/>
        <v>0</v>
      </c>
      <c r="AN5" s="4">
        <f t="shared" si="0"/>
        <v>0</v>
      </c>
      <c r="AO5" s="4">
        <f t="shared" si="0"/>
        <v>0</v>
      </c>
      <c r="AP5" s="4">
        <f t="shared" si="0"/>
        <v>0</v>
      </c>
      <c r="AQ5" s="4">
        <f t="shared" si="0"/>
        <v>0</v>
      </c>
      <c r="AR5" s="4">
        <f t="shared" si="0"/>
        <v>0</v>
      </c>
      <c r="AS5" s="4">
        <f t="shared" si="0"/>
        <v>0</v>
      </c>
      <c r="AT5" s="4">
        <f t="shared" si="0"/>
        <v>0</v>
      </c>
      <c r="AU5" s="4">
        <f t="shared" si="0"/>
        <v>0</v>
      </c>
      <c r="AV5" s="4">
        <f t="shared" si="0"/>
        <v>0</v>
      </c>
      <c r="AW5" s="5"/>
      <c r="AX5" s="5"/>
      <c r="AY5" s="6"/>
    </row>
    <row r="6" spans="1:52" ht="15" customHeight="1">
      <c r="A6" s="1" t="s">
        <v>65</v>
      </c>
      <c r="B6" s="7" t="s">
        <v>66</v>
      </c>
      <c r="C6" s="8" t="s">
        <v>67</v>
      </c>
      <c r="D6" s="5">
        <f t="shared" ref="D6:D23" si="1">E6-AX6</f>
        <v>8</v>
      </c>
      <c r="E6" s="9">
        <f t="shared" ref="E6:E23" si="2">SUM(F6:AV6)-AX6</f>
        <v>8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  <c r="Q6" s="12">
        <v>1</v>
      </c>
      <c r="R6" s="12">
        <v>1</v>
      </c>
      <c r="S6" s="12">
        <v>1</v>
      </c>
      <c r="T6" s="12"/>
      <c r="U6" s="13"/>
      <c r="V6" s="12">
        <v>1</v>
      </c>
      <c r="W6" s="12"/>
      <c r="X6" s="12">
        <v>1</v>
      </c>
      <c r="Y6" s="12">
        <v>1</v>
      </c>
      <c r="Z6" s="12"/>
      <c r="AA6" s="12">
        <v>1</v>
      </c>
      <c r="AB6" s="12">
        <v>1</v>
      </c>
      <c r="AC6" s="14"/>
      <c r="AD6" s="14"/>
      <c r="AE6" s="14"/>
      <c r="AF6" s="14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2"/>
      <c r="AX6" s="9"/>
      <c r="AY6" s="2"/>
      <c r="AZ6" s="1" t="str">
        <f t="shared" ref="AZ6:AZ23" si="3">B6</f>
        <v>Bartoš Jaromír</v>
      </c>
    </row>
    <row r="7" spans="1:52" ht="15" customHeight="1">
      <c r="A7" s="1" t="s">
        <v>68</v>
      </c>
      <c r="B7" s="7" t="s">
        <v>69</v>
      </c>
      <c r="C7" s="8" t="s">
        <v>67</v>
      </c>
      <c r="D7" s="5">
        <f t="shared" si="1"/>
        <v>8</v>
      </c>
      <c r="E7" s="9">
        <f t="shared" si="2"/>
        <v>8</v>
      </c>
      <c r="F7" s="10"/>
      <c r="G7" s="15"/>
      <c r="H7" s="10"/>
      <c r="I7" s="10"/>
      <c r="J7" s="10"/>
      <c r="K7" s="10"/>
      <c r="L7" s="10"/>
      <c r="M7" s="10"/>
      <c r="N7" s="10"/>
      <c r="O7" s="10"/>
      <c r="P7" s="10"/>
      <c r="Q7" s="12">
        <v>1</v>
      </c>
      <c r="R7" s="12">
        <v>1</v>
      </c>
      <c r="S7" s="12"/>
      <c r="T7" s="12">
        <v>1</v>
      </c>
      <c r="U7" s="16"/>
      <c r="V7" s="12">
        <v>1</v>
      </c>
      <c r="W7" s="12"/>
      <c r="X7" s="12">
        <v>1</v>
      </c>
      <c r="Y7" s="12">
        <v>1</v>
      </c>
      <c r="Z7" s="12"/>
      <c r="AA7" s="12">
        <v>1</v>
      </c>
      <c r="AB7" s="12">
        <v>1</v>
      </c>
      <c r="AC7" s="14"/>
      <c r="AD7" s="14"/>
      <c r="AE7" s="14"/>
      <c r="AF7" s="14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2"/>
      <c r="AX7" s="9"/>
      <c r="AY7" s="2"/>
      <c r="AZ7" s="1" t="str">
        <f t="shared" si="3"/>
        <v>Bartuněk Petr</v>
      </c>
    </row>
    <row r="8" spans="1:52" ht="15" customHeight="1">
      <c r="A8" s="1" t="s">
        <v>70</v>
      </c>
      <c r="B8" s="7" t="s">
        <v>71</v>
      </c>
      <c r="C8" s="8" t="s">
        <v>67</v>
      </c>
      <c r="D8" s="5">
        <f t="shared" si="1"/>
        <v>8</v>
      </c>
      <c r="E8" s="9">
        <f t="shared" si="2"/>
        <v>8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2">
        <v>1</v>
      </c>
      <c r="R8" s="12">
        <v>1</v>
      </c>
      <c r="S8" s="12"/>
      <c r="T8" s="12">
        <v>1</v>
      </c>
      <c r="U8" s="13"/>
      <c r="V8" s="12"/>
      <c r="W8" s="12">
        <v>1</v>
      </c>
      <c r="X8" s="12">
        <v>1</v>
      </c>
      <c r="Y8" s="12">
        <v>1</v>
      </c>
      <c r="Z8" s="12"/>
      <c r="AA8" s="12">
        <v>1</v>
      </c>
      <c r="AB8" s="12">
        <v>1</v>
      </c>
      <c r="AC8" s="14"/>
      <c r="AD8" s="14"/>
      <c r="AE8" s="14"/>
      <c r="AF8" s="14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2"/>
      <c r="AX8" s="9"/>
      <c r="AY8" s="2"/>
      <c r="AZ8" s="1" t="str">
        <f t="shared" si="3"/>
        <v>Elschek Walter</v>
      </c>
    </row>
    <row r="9" spans="1:52" ht="15" customHeight="1">
      <c r="A9" s="1" t="s">
        <v>72</v>
      </c>
      <c r="B9" s="7" t="s">
        <v>73</v>
      </c>
      <c r="C9" s="8" t="s">
        <v>67</v>
      </c>
      <c r="D9" s="5">
        <f t="shared" si="1"/>
        <v>8</v>
      </c>
      <c r="E9" s="9">
        <f t="shared" si="2"/>
        <v>8</v>
      </c>
      <c r="F9" s="12"/>
      <c r="G9" s="12"/>
      <c r="H9" s="12"/>
      <c r="I9" s="12"/>
      <c r="J9" s="12">
        <v>1</v>
      </c>
      <c r="K9" s="12"/>
      <c r="L9" s="12"/>
      <c r="M9" s="12"/>
      <c r="N9" s="12"/>
      <c r="O9" s="12">
        <v>1</v>
      </c>
      <c r="P9" s="12">
        <v>1</v>
      </c>
      <c r="Q9" s="12"/>
      <c r="R9" s="12">
        <v>1</v>
      </c>
      <c r="S9" s="12"/>
      <c r="T9" s="12"/>
      <c r="U9" s="13"/>
      <c r="V9" s="12"/>
      <c r="W9" s="12">
        <v>1</v>
      </c>
      <c r="X9" s="12">
        <v>1</v>
      </c>
      <c r="Y9" s="12"/>
      <c r="Z9" s="12">
        <v>1</v>
      </c>
      <c r="AA9" s="12"/>
      <c r="AB9" s="12">
        <v>1</v>
      </c>
      <c r="AC9" s="14"/>
      <c r="AD9" s="14"/>
      <c r="AE9" s="14"/>
      <c r="AF9" s="14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2"/>
      <c r="AX9" s="9"/>
      <c r="AY9" s="17"/>
      <c r="AZ9" s="1" t="str">
        <f t="shared" si="3"/>
        <v>Hána Vladimír </v>
      </c>
    </row>
    <row r="10" spans="1:52" ht="15" customHeight="1">
      <c r="A10" s="1" t="s">
        <v>48</v>
      </c>
      <c r="B10" s="7" t="s">
        <v>74</v>
      </c>
      <c r="C10" s="8" t="s">
        <v>75</v>
      </c>
      <c r="D10" s="5">
        <f t="shared" si="1"/>
        <v>8</v>
      </c>
      <c r="E10" s="9">
        <f t="shared" si="2"/>
        <v>8</v>
      </c>
      <c r="F10" s="12">
        <v>1</v>
      </c>
      <c r="G10" s="12">
        <v>1</v>
      </c>
      <c r="H10" s="12"/>
      <c r="I10" s="12">
        <v>1</v>
      </c>
      <c r="J10" s="12">
        <v>1</v>
      </c>
      <c r="K10" s="12"/>
      <c r="L10" s="12">
        <v>1</v>
      </c>
      <c r="M10" s="12"/>
      <c r="N10" s="12">
        <v>1</v>
      </c>
      <c r="O10" s="12">
        <v>1</v>
      </c>
      <c r="P10" s="12">
        <v>1</v>
      </c>
      <c r="Q10" s="10"/>
      <c r="R10" s="10"/>
      <c r="S10" s="10"/>
      <c r="T10" s="10"/>
      <c r="U10" s="13"/>
      <c r="V10" s="10"/>
      <c r="W10" s="10"/>
      <c r="X10" s="10"/>
      <c r="Y10" s="10"/>
      <c r="Z10" s="10"/>
      <c r="AA10" s="10"/>
      <c r="AB10" s="10"/>
      <c r="AC10" s="14"/>
      <c r="AD10" s="14"/>
      <c r="AE10" s="14"/>
      <c r="AF10" s="14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2"/>
      <c r="AX10" s="9"/>
      <c r="AY10" s="2"/>
      <c r="AZ10" s="1" t="str">
        <f t="shared" si="3"/>
        <v>Holý Oldřich </v>
      </c>
    </row>
    <row r="11" spans="1:52" ht="15" customHeight="1">
      <c r="A11" s="1" t="s">
        <v>76</v>
      </c>
      <c r="B11" s="7" t="s">
        <v>77</v>
      </c>
      <c r="C11" s="8" t="s">
        <v>75</v>
      </c>
      <c r="D11" s="5">
        <f t="shared" si="1"/>
        <v>7</v>
      </c>
      <c r="E11" s="9">
        <f t="shared" si="2"/>
        <v>7</v>
      </c>
      <c r="F11" s="12">
        <v>1</v>
      </c>
      <c r="G11" s="12">
        <v>1</v>
      </c>
      <c r="H11" s="12"/>
      <c r="I11" s="12">
        <v>1</v>
      </c>
      <c r="J11" s="12">
        <v>1</v>
      </c>
      <c r="K11" s="18"/>
      <c r="L11" s="12">
        <v>1</v>
      </c>
      <c r="M11" s="18"/>
      <c r="N11" s="12"/>
      <c r="O11" s="12">
        <v>1</v>
      </c>
      <c r="P11" s="12">
        <v>1</v>
      </c>
      <c r="Q11" s="10"/>
      <c r="R11" s="10"/>
      <c r="S11" s="10"/>
      <c r="T11" s="10"/>
      <c r="U11" s="13"/>
      <c r="V11" s="10"/>
      <c r="W11" s="10"/>
      <c r="X11" s="10"/>
      <c r="Y11" s="10"/>
      <c r="Z11" s="10"/>
      <c r="AA11" s="10"/>
      <c r="AB11" s="10"/>
      <c r="AC11" s="14"/>
      <c r="AD11" s="14"/>
      <c r="AE11" s="14"/>
      <c r="AF11" s="14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2"/>
      <c r="AX11" s="9"/>
      <c r="AY11" s="19"/>
      <c r="AZ11" s="1" t="str">
        <f t="shared" si="3"/>
        <v>Jadlovský Jan </v>
      </c>
    </row>
    <row r="12" spans="1:52" ht="15" customHeight="1">
      <c r="A12" s="1" t="s">
        <v>78</v>
      </c>
      <c r="B12" s="7" t="s">
        <v>79</v>
      </c>
      <c r="C12" s="8" t="s">
        <v>67</v>
      </c>
      <c r="D12" s="5">
        <f t="shared" si="1"/>
        <v>8</v>
      </c>
      <c r="E12" s="9">
        <f t="shared" si="2"/>
        <v>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2">
        <v>1</v>
      </c>
      <c r="R12" s="12"/>
      <c r="S12" s="12">
        <v>1</v>
      </c>
      <c r="T12" s="12">
        <v>1</v>
      </c>
      <c r="U12" s="13"/>
      <c r="V12" s="12"/>
      <c r="W12" s="12">
        <v>1</v>
      </c>
      <c r="X12" s="12">
        <v>1</v>
      </c>
      <c r="Y12" s="12"/>
      <c r="Z12" s="12">
        <v>1</v>
      </c>
      <c r="AA12" s="12">
        <v>1</v>
      </c>
      <c r="AB12" s="12">
        <v>1</v>
      </c>
      <c r="AC12" s="14"/>
      <c r="AD12" s="14"/>
      <c r="AE12" s="14"/>
      <c r="AF12" s="14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2"/>
      <c r="AX12" s="9"/>
      <c r="AY12" s="2"/>
      <c r="AZ12" s="1" t="str">
        <f t="shared" si="3"/>
        <v>Mücková Kristýna </v>
      </c>
    </row>
    <row r="13" spans="1:52" ht="15" customHeight="1">
      <c r="A13" s="1" t="s">
        <v>80</v>
      </c>
      <c r="B13" s="7" t="s">
        <v>81</v>
      </c>
      <c r="C13" s="8" t="s">
        <v>67</v>
      </c>
      <c r="D13" s="5">
        <f t="shared" si="1"/>
        <v>8</v>
      </c>
      <c r="E13" s="9">
        <f t="shared" si="2"/>
        <v>8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2">
        <v>1</v>
      </c>
      <c r="R13" s="12"/>
      <c r="S13" s="12">
        <v>1</v>
      </c>
      <c r="T13" s="12">
        <v>1</v>
      </c>
      <c r="U13" s="13"/>
      <c r="V13" s="12">
        <v>1</v>
      </c>
      <c r="W13" s="12">
        <v>1</v>
      </c>
      <c r="X13" s="12">
        <v>1</v>
      </c>
      <c r="Y13" s="12"/>
      <c r="Z13" s="12">
        <v>1</v>
      </c>
      <c r="AA13" s="12">
        <v>1</v>
      </c>
      <c r="AB13" s="12"/>
      <c r="AC13" s="14"/>
      <c r="AD13" s="14"/>
      <c r="AE13" s="14"/>
      <c r="AF13" s="14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2"/>
      <c r="AX13" s="9"/>
      <c r="AY13" s="2"/>
      <c r="AZ13" s="1" t="str">
        <f t="shared" si="3"/>
        <v>Nováček Dobromil </v>
      </c>
    </row>
    <row r="14" spans="1:52" ht="15" customHeight="1">
      <c r="A14" s="1" t="s">
        <v>82</v>
      </c>
      <c r="B14" s="7" t="s">
        <v>83</v>
      </c>
      <c r="C14" s="8" t="s">
        <v>67</v>
      </c>
      <c r="D14" s="5">
        <f t="shared" si="1"/>
        <v>9</v>
      </c>
      <c r="E14" s="9">
        <f t="shared" si="2"/>
        <v>9</v>
      </c>
      <c r="F14" s="15"/>
      <c r="G14" s="10"/>
      <c r="H14" s="10"/>
      <c r="I14" s="10"/>
      <c r="J14" s="10"/>
      <c r="K14" s="15"/>
      <c r="L14" s="10"/>
      <c r="M14" s="10"/>
      <c r="N14" s="10"/>
      <c r="O14" s="12"/>
      <c r="P14" s="12">
        <v>1</v>
      </c>
      <c r="Q14" s="12">
        <v>1</v>
      </c>
      <c r="R14" s="12"/>
      <c r="S14" s="12">
        <v>1</v>
      </c>
      <c r="T14" s="12">
        <v>1</v>
      </c>
      <c r="U14" s="13"/>
      <c r="V14" s="12">
        <v>1</v>
      </c>
      <c r="W14" s="12">
        <v>1</v>
      </c>
      <c r="X14" s="12"/>
      <c r="Y14" s="12">
        <v>1</v>
      </c>
      <c r="Z14" s="12">
        <v>1</v>
      </c>
      <c r="AA14" s="12">
        <v>1</v>
      </c>
      <c r="AB14" s="12"/>
      <c r="AC14" s="14"/>
      <c r="AD14" s="14"/>
      <c r="AE14" s="14"/>
      <c r="AF14" s="14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2"/>
      <c r="AX14" s="9"/>
      <c r="AY14" s="2"/>
      <c r="AZ14" s="1" t="str">
        <f t="shared" si="3"/>
        <v>Pixa Jiří </v>
      </c>
    </row>
    <row r="15" spans="1:52" ht="15" customHeight="1">
      <c r="A15" s="1" t="s">
        <v>84</v>
      </c>
      <c r="B15" s="7" t="s">
        <v>85</v>
      </c>
      <c r="C15" s="8" t="s">
        <v>86</v>
      </c>
      <c r="D15" s="5">
        <f t="shared" si="1"/>
        <v>8</v>
      </c>
      <c r="E15" s="9">
        <f t="shared" si="2"/>
        <v>8</v>
      </c>
      <c r="F15" s="12">
        <v>1</v>
      </c>
      <c r="G15" s="12"/>
      <c r="H15" s="12"/>
      <c r="I15" s="12">
        <v>1</v>
      </c>
      <c r="J15" s="12">
        <v>1</v>
      </c>
      <c r="K15" s="12">
        <v>1</v>
      </c>
      <c r="L15" s="12">
        <v>1</v>
      </c>
      <c r="M15" s="12"/>
      <c r="N15" s="12">
        <v>1</v>
      </c>
      <c r="O15" s="12">
        <v>1</v>
      </c>
      <c r="P15" s="12">
        <v>1</v>
      </c>
      <c r="Q15" s="10"/>
      <c r="R15" s="10"/>
      <c r="S15" s="10"/>
      <c r="T15" s="10"/>
      <c r="U15" s="13"/>
      <c r="V15" s="10"/>
      <c r="W15" s="10"/>
      <c r="X15" s="10"/>
      <c r="Y15" s="10"/>
      <c r="Z15" s="10"/>
      <c r="AA15" s="10"/>
      <c r="AB15" s="10"/>
      <c r="AC15" s="14"/>
      <c r="AD15" s="14"/>
      <c r="AE15" s="14"/>
      <c r="AF15" s="14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2"/>
      <c r="AX15" s="9"/>
      <c r="AY15" s="2"/>
      <c r="AZ15" s="1" t="str">
        <f t="shared" si="3"/>
        <v>Sedlecká Veronika </v>
      </c>
    </row>
    <row r="16" spans="1:52" ht="15" customHeight="1">
      <c r="A16" s="1" t="s">
        <v>87</v>
      </c>
      <c r="B16" s="7" t="s">
        <v>88</v>
      </c>
      <c r="C16" s="8" t="s">
        <v>89</v>
      </c>
      <c r="D16" s="5">
        <f t="shared" si="1"/>
        <v>7</v>
      </c>
      <c r="E16" s="9">
        <f t="shared" si="2"/>
        <v>7</v>
      </c>
      <c r="F16" s="12">
        <v>1</v>
      </c>
      <c r="G16" s="12"/>
      <c r="H16" s="12">
        <v>1</v>
      </c>
      <c r="I16" s="12"/>
      <c r="J16" s="12">
        <v>1</v>
      </c>
      <c r="K16" s="12">
        <v>1</v>
      </c>
      <c r="L16" s="12">
        <v>1</v>
      </c>
      <c r="M16" s="12">
        <v>1</v>
      </c>
      <c r="N16" s="12">
        <v>1</v>
      </c>
      <c r="O16" s="20"/>
      <c r="P16" s="20"/>
      <c r="Q16" s="10"/>
      <c r="R16" s="10"/>
      <c r="S16" s="10"/>
      <c r="T16" s="10"/>
      <c r="U16" s="13"/>
      <c r="V16" s="10"/>
      <c r="W16" s="10"/>
      <c r="X16" s="10"/>
      <c r="Y16" s="10"/>
      <c r="Z16" s="10"/>
      <c r="AA16" s="10"/>
      <c r="AB16" s="10"/>
      <c r="AC16" s="14"/>
      <c r="AD16" s="14"/>
      <c r="AE16" s="14"/>
      <c r="AF16" s="14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2"/>
      <c r="AX16" s="9"/>
      <c r="AY16" s="2"/>
      <c r="AZ16" s="1" t="str">
        <f t="shared" si="3"/>
        <v>Sekera Jan Carlos </v>
      </c>
    </row>
    <row r="17" spans="1:52" ht="15" customHeight="1">
      <c r="A17" s="1" t="s">
        <v>90</v>
      </c>
      <c r="B17" s="7" t="s">
        <v>91</v>
      </c>
      <c r="C17" s="8" t="s">
        <v>86</v>
      </c>
      <c r="D17" s="5">
        <f t="shared" si="1"/>
        <v>7</v>
      </c>
      <c r="E17" s="9">
        <f t="shared" si="2"/>
        <v>7</v>
      </c>
      <c r="F17" s="12">
        <v>1</v>
      </c>
      <c r="G17" s="12">
        <v>1</v>
      </c>
      <c r="H17" s="12">
        <v>1</v>
      </c>
      <c r="I17" s="12"/>
      <c r="J17" s="20"/>
      <c r="K17" s="12">
        <v>1</v>
      </c>
      <c r="L17" s="12">
        <v>1</v>
      </c>
      <c r="M17" s="12">
        <v>1</v>
      </c>
      <c r="N17" s="12">
        <v>1</v>
      </c>
      <c r="O17" s="20"/>
      <c r="P17" s="20"/>
      <c r="Q17" s="10"/>
      <c r="R17" s="10"/>
      <c r="S17" s="10"/>
      <c r="T17" s="10"/>
      <c r="U17" s="13"/>
      <c r="V17" s="10"/>
      <c r="W17" s="10"/>
      <c r="X17" s="10"/>
      <c r="Y17" s="10"/>
      <c r="Z17" s="10"/>
      <c r="AA17" s="10"/>
      <c r="AB17" s="10"/>
      <c r="AC17" s="14"/>
      <c r="AD17" s="14"/>
      <c r="AE17" s="14"/>
      <c r="AF17" s="14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2"/>
      <c r="AX17" s="9"/>
      <c r="AY17" s="2"/>
      <c r="AZ17" s="1" t="str">
        <f t="shared" si="3"/>
        <v>Schuller Jakub </v>
      </c>
    </row>
    <row r="18" spans="1:52" ht="15" customHeight="1">
      <c r="A18" s="1" t="s">
        <v>92</v>
      </c>
      <c r="B18" s="7" t="s">
        <v>93</v>
      </c>
      <c r="C18" s="8" t="s">
        <v>67</v>
      </c>
      <c r="D18" s="5">
        <f t="shared" si="1"/>
        <v>9</v>
      </c>
      <c r="E18" s="9">
        <f t="shared" si="2"/>
        <v>9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2"/>
      <c r="R18" s="12">
        <v>1</v>
      </c>
      <c r="S18" s="12">
        <v>1</v>
      </c>
      <c r="T18" s="12">
        <v>1</v>
      </c>
      <c r="U18" s="13"/>
      <c r="V18" s="12">
        <v>1</v>
      </c>
      <c r="W18" s="12">
        <v>1</v>
      </c>
      <c r="X18" s="12"/>
      <c r="Y18" s="12">
        <v>1</v>
      </c>
      <c r="Z18" s="12">
        <v>1</v>
      </c>
      <c r="AA18" s="12">
        <v>1</v>
      </c>
      <c r="AB18" s="12">
        <v>1</v>
      </c>
      <c r="AC18" s="14"/>
      <c r="AD18" s="14"/>
      <c r="AE18" s="14"/>
      <c r="AF18" s="14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2"/>
      <c r="AX18" s="9"/>
      <c r="AY18" s="2"/>
      <c r="AZ18" s="1" t="str">
        <f t="shared" si="3"/>
        <v>Ševčík Jiří </v>
      </c>
    </row>
    <row r="19" spans="1:52" ht="15" customHeight="1">
      <c r="A19" s="1" t="s">
        <v>94</v>
      </c>
      <c r="B19" s="7" t="s">
        <v>95</v>
      </c>
      <c r="C19" s="8" t="s">
        <v>67</v>
      </c>
      <c r="D19" s="5">
        <f t="shared" si="1"/>
        <v>8</v>
      </c>
      <c r="E19" s="9">
        <f t="shared" si="2"/>
        <v>8</v>
      </c>
      <c r="F19" s="10"/>
      <c r="G19" s="10"/>
      <c r="H19" s="10"/>
      <c r="I19" s="10"/>
      <c r="J19" s="10"/>
      <c r="K19" s="10"/>
      <c r="L19" s="10"/>
      <c r="M19" s="10"/>
      <c r="N19" s="10"/>
      <c r="O19" s="12">
        <v>1</v>
      </c>
      <c r="P19" s="12"/>
      <c r="Q19" s="12"/>
      <c r="R19" s="12">
        <v>1</v>
      </c>
      <c r="S19" s="12">
        <v>1</v>
      </c>
      <c r="T19" s="12">
        <v>1</v>
      </c>
      <c r="U19" s="13"/>
      <c r="V19" s="12">
        <v>1</v>
      </c>
      <c r="W19" s="12">
        <v>1</v>
      </c>
      <c r="X19" s="12"/>
      <c r="Y19" s="12">
        <v>1</v>
      </c>
      <c r="Z19" s="12">
        <v>1</v>
      </c>
      <c r="AA19" s="12"/>
      <c r="AB19" s="12"/>
      <c r="AC19" s="14"/>
      <c r="AD19" s="14"/>
      <c r="AE19" s="14"/>
      <c r="AF19" s="14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2"/>
      <c r="AX19" s="9"/>
      <c r="AY19" s="2"/>
      <c r="AZ19" s="1" t="str">
        <f t="shared" si="3"/>
        <v>Tancibudek Miloš </v>
      </c>
    </row>
    <row r="20" spans="1:52" ht="15" customHeight="1">
      <c r="A20" s="1" t="s">
        <v>96</v>
      </c>
      <c r="B20" s="7" t="s">
        <v>97</v>
      </c>
      <c r="C20" s="8" t="s">
        <v>67</v>
      </c>
      <c r="D20" s="5">
        <f t="shared" si="1"/>
        <v>8</v>
      </c>
      <c r="E20" s="9">
        <f t="shared" si="2"/>
        <v>8</v>
      </c>
      <c r="F20" s="10"/>
      <c r="G20" s="10"/>
      <c r="H20" s="21"/>
      <c r="I20" s="10"/>
      <c r="J20" s="10"/>
      <c r="K20" s="10"/>
      <c r="L20" s="21"/>
      <c r="M20" s="10"/>
      <c r="N20" s="10"/>
      <c r="O20" s="10"/>
      <c r="P20" s="10"/>
      <c r="Q20" s="12">
        <v>1</v>
      </c>
      <c r="R20" s="12">
        <v>1</v>
      </c>
      <c r="S20" s="12">
        <v>1</v>
      </c>
      <c r="T20" s="12"/>
      <c r="U20" s="13"/>
      <c r="V20" s="12">
        <v>1</v>
      </c>
      <c r="W20" s="12"/>
      <c r="X20" s="12">
        <v>1</v>
      </c>
      <c r="Y20" s="12">
        <v>1</v>
      </c>
      <c r="Z20" s="12">
        <v>1</v>
      </c>
      <c r="AA20" s="12"/>
      <c r="AB20" s="12">
        <v>1</v>
      </c>
      <c r="AC20" s="14"/>
      <c r="AD20" s="14"/>
      <c r="AE20" s="14"/>
      <c r="AF20" s="14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2"/>
      <c r="AX20" s="9"/>
      <c r="AY20" s="2"/>
      <c r="AZ20" s="1" t="str">
        <f t="shared" si="3"/>
        <v>Třeštiková Andrea </v>
      </c>
    </row>
    <row r="21" spans="1:52" ht="15" customHeight="1">
      <c r="A21" s="1" t="s">
        <v>98</v>
      </c>
      <c r="B21" s="7" t="s">
        <v>99</v>
      </c>
      <c r="C21" s="8" t="s">
        <v>86</v>
      </c>
      <c r="D21" s="5">
        <f t="shared" si="1"/>
        <v>8</v>
      </c>
      <c r="E21" s="9">
        <f t="shared" si="2"/>
        <v>8</v>
      </c>
      <c r="F21" s="22"/>
      <c r="G21" s="12">
        <v>1</v>
      </c>
      <c r="H21" s="12">
        <v>1</v>
      </c>
      <c r="I21" s="12">
        <v>1</v>
      </c>
      <c r="J21" s="12">
        <v>1</v>
      </c>
      <c r="K21" s="12">
        <v>1</v>
      </c>
      <c r="L21" s="12"/>
      <c r="M21" s="12">
        <v>1</v>
      </c>
      <c r="N21" s="12"/>
      <c r="O21" s="12">
        <v>1</v>
      </c>
      <c r="P21" s="23">
        <v>1</v>
      </c>
      <c r="Q21" s="10"/>
      <c r="R21" s="10"/>
      <c r="S21" s="10"/>
      <c r="T21" s="10"/>
      <c r="U21" s="13"/>
      <c r="V21" s="10"/>
      <c r="W21" s="10"/>
      <c r="X21" s="10"/>
      <c r="Y21" s="10"/>
      <c r="Z21" s="10"/>
      <c r="AA21" s="10"/>
      <c r="AB21" s="10"/>
      <c r="AC21" s="14"/>
      <c r="AD21" s="14"/>
      <c r="AE21" s="14"/>
      <c r="AF21" s="14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2"/>
      <c r="AX21" s="9"/>
      <c r="AY21" s="2"/>
      <c r="AZ21" s="1" t="str">
        <f t="shared" si="3"/>
        <v>Varnuška Michal </v>
      </c>
    </row>
    <row r="22" spans="1:52" ht="15" customHeight="1">
      <c r="A22" s="1" t="s">
        <v>100</v>
      </c>
      <c r="B22" s="7" t="s">
        <v>101</v>
      </c>
      <c r="C22" s="8" t="s">
        <v>86</v>
      </c>
      <c r="D22" s="5">
        <f t="shared" si="1"/>
        <v>8</v>
      </c>
      <c r="E22" s="9">
        <f t="shared" si="2"/>
        <v>8</v>
      </c>
      <c r="F22" s="12">
        <v>1</v>
      </c>
      <c r="G22" s="12">
        <v>1</v>
      </c>
      <c r="H22" s="12">
        <v>1</v>
      </c>
      <c r="I22" s="12"/>
      <c r="J22" s="12">
        <v>1</v>
      </c>
      <c r="K22" s="12">
        <v>1</v>
      </c>
      <c r="L22" s="12"/>
      <c r="M22" s="12">
        <v>1</v>
      </c>
      <c r="N22" s="12"/>
      <c r="O22" s="12">
        <v>1</v>
      </c>
      <c r="P22" s="23">
        <v>1</v>
      </c>
      <c r="Q22" s="10"/>
      <c r="R22" s="10"/>
      <c r="S22" s="10"/>
      <c r="T22" s="10"/>
      <c r="U22" s="13"/>
      <c r="V22" s="10"/>
      <c r="W22" s="10"/>
      <c r="X22" s="10"/>
      <c r="Y22" s="10"/>
      <c r="Z22" s="10"/>
      <c r="AA22" s="10"/>
      <c r="AB22" s="10"/>
      <c r="AC22" s="14"/>
      <c r="AD22" s="14"/>
      <c r="AE22" s="14"/>
      <c r="AF22" s="14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2"/>
      <c r="AX22" s="9"/>
      <c r="AY22" s="2"/>
      <c r="AZ22" s="1" t="str">
        <f t="shared" si="3"/>
        <v>Vild Pavel </v>
      </c>
    </row>
    <row r="23" spans="1:52" ht="15" customHeight="1">
      <c r="A23" s="1" t="s">
        <v>102</v>
      </c>
      <c r="B23" s="7" t="s">
        <v>103</v>
      </c>
      <c r="C23" s="8" t="s">
        <v>86</v>
      </c>
      <c r="D23" s="5">
        <f t="shared" si="1"/>
        <v>4</v>
      </c>
      <c r="E23" s="9">
        <f t="shared" si="2"/>
        <v>4</v>
      </c>
      <c r="F23" s="20"/>
      <c r="G23" s="20"/>
      <c r="H23" s="12">
        <v>1</v>
      </c>
      <c r="I23" s="12">
        <v>1</v>
      </c>
      <c r="J23" s="20"/>
      <c r="K23" s="20"/>
      <c r="L23" s="20"/>
      <c r="M23" s="12">
        <v>1</v>
      </c>
      <c r="N23" s="12">
        <v>1</v>
      </c>
      <c r="O23" s="20"/>
      <c r="P23" s="20"/>
      <c r="Q23" s="10"/>
      <c r="R23" s="10"/>
      <c r="S23" s="10"/>
      <c r="T23" s="10"/>
      <c r="U23" s="13"/>
      <c r="V23" s="10"/>
      <c r="W23" s="10"/>
      <c r="X23" s="10"/>
      <c r="Y23" s="10"/>
      <c r="Z23" s="10"/>
      <c r="AA23" s="10"/>
      <c r="AB23" s="10"/>
      <c r="AC23" s="14"/>
      <c r="AD23" s="14"/>
      <c r="AE23" s="14"/>
      <c r="AF23" s="14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2"/>
      <c r="AX23" s="2"/>
      <c r="AY23" s="2"/>
      <c r="AZ23" s="1" t="str">
        <f t="shared" si="3"/>
        <v>Žáková Jaroslava </v>
      </c>
    </row>
    <row r="24" spans="1:52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2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1:52" ht="14.25" customHeight="1">
      <c r="B26" s="24"/>
    </row>
    <row r="27" spans="1:52" ht="14.25" customHeight="1">
      <c r="B27" s="24"/>
    </row>
    <row r="28" spans="1:52" ht="14.25" customHeight="1">
      <c r="B28" s="24"/>
    </row>
    <row r="29" spans="1:52" ht="14.25" customHeight="1">
      <c r="B29" s="24"/>
    </row>
    <row r="30" spans="1:52" ht="14.25" customHeight="1">
      <c r="B30" s="25"/>
    </row>
    <row r="31" spans="1:52" ht="14.25" customHeight="1"/>
    <row r="32" spans="1:5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Leonid</cp:lastModifiedBy>
  <dcterms:modified xsi:type="dcterms:W3CDTF">2025-11-16T16:14:12Z</dcterms:modified>
</cp:coreProperties>
</file>