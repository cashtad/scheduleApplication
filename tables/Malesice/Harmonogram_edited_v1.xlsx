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Leonid\PycharmProjects\scheduleApplication\tables\Malesice\"/>
    </mc:Choice>
  </mc:AlternateContent>
  <xr:revisionPtr revIDLastSave="0" documentId="13_ncr:1_{737B3750-C788-43AF-9304-E5769823FE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rmonogram" sheetId="1" r:id="rId1"/>
    <sheet name="List2" sheetId="3" r:id="rId2"/>
    <sheet name="List1" sheetId="2" r:id="rId3"/>
  </sheets>
  <definedNames>
    <definedName name="_6782" localSheetId="0">harmonogram!#REF!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B6" i="1"/>
  <c r="B7" i="1"/>
  <c r="B8" i="1"/>
  <c r="B9" i="1" s="1"/>
  <c r="B10" i="1" s="1"/>
  <c r="B11" i="1" s="1"/>
  <c r="D8" i="2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J1" i="3"/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J3" i="1"/>
  <c r="C4" i="1" l="1"/>
  <c r="B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řipojení" type="4" refreshedVersion="4" background="1">
    <webPr sourceData="1" parsePre="1" consecutive="1" xl2000="1" url="https://www.csts.cz/cs/KalendarSoutezi/SeznamPrihlasenych/6782" htmlFormat="all"/>
  </connection>
</connections>
</file>

<file path=xl/sharedStrings.xml><?xml version="1.0" encoding="utf-8"?>
<sst xmlns="http://schemas.openxmlformats.org/spreadsheetml/2006/main" count="314" uniqueCount="121">
  <si>
    <t>délka</t>
  </si>
  <si>
    <t>finále</t>
  </si>
  <si>
    <t>semifinále</t>
  </si>
  <si>
    <t>konec</t>
  </si>
  <si>
    <t>prezence</t>
  </si>
  <si>
    <t>1. kolo</t>
  </si>
  <si>
    <t>sk.</t>
  </si>
  <si>
    <t>č.s.</t>
  </si>
  <si>
    <t>ta.</t>
  </si>
  <si>
    <t xml:space="preserve"> -----</t>
  </si>
  <si>
    <t>Mládež C LAT</t>
  </si>
  <si>
    <t>Mládež B LAT</t>
  </si>
  <si>
    <t>Dospělí D LAT</t>
  </si>
  <si>
    <t>Dospělí C LAT</t>
  </si>
  <si>
    <t>Mládež C STT</t>
  </si>
  <si>
    <t>Dospělí C STT</t>
  </si>
  <si>
    <t>Jun-I E LAT</t>
  </si>
  <si>
    <t>Jun-I E STT</t>
  </si>
  <si>
    <t>Jun-II E STT</t>
  </si>
  <si>
    <t>Jun-II D STT</t>
  </si>
  <si>
    <t>Jun-II C STT</t>
  </si>
  <si>
    <t>Děti-II E KOMB</t>
  </si>
  <si>
    <t>TPV Jun Br Solo STT</t>
  </si>
  <si>
    <t>TPV Děti N Solo KOMB</t>
  </si>
  <si>
    <t>TPV Jun Br Solo LAT</t>
  </si>
  <si>
    <t>TPV Jun S Solo LAT</t>
  </si>
  <si>
    <t>Děti-II C LAT</t>
  </si>
  <si>
    <t>TPV Děti Open KOMB Cup</t>
  </si>
  <si>
    <t>TPV Děti Br Duo KOMB</t>
  </si>
  <si>
    <t>Jun-I C LAT</t>
  </si>
  <si>
    <t>Jun-II C LAT</t>
  </si>
  <si>
    <t>Jun-II B LAT</t>
  </si>
  <si>
    <t>TPV Jun Br Duo STT</t>
  </si>
  <si>
    <t>TPV Jun S Solo STT</t>
  </si>
  <si>
    <t>TPV Jun Br Duo LAT</t>
  </si>
  <si>
    <t>TPV Jun Open KOMB Cup</t>
  </si>
  <si>
    <t>Mládež B STT</t>
  </si>
  <si>
    <t>Dospělí E LAT</t>
  </si>
  <si>
    <t>Dospělí B LAT</t>
  </si>
  <si>
    <t>Dospělí B STT</t>
  </si>
  <si>
    <t>TPV Děti S Solo LAT</t>
  </si>
  <si>
    <t>TPV Děti Br Solo LAT</t>
  </si>
  <si>
    <t>TPV Děti Br Solo STT</t>
  </si>
  <si>
    <t>Vyhlášení TPV Jun Br,S solo LAT, Mládež C,B LAT</t>
  </si>
  <si>
    <t>Jun-II E LAT</t>
  </si>
  <si>
    <t>Vyhlášení TPV D+J Cup, TPV Děti N solo KOMB, S solo LAT</t>
  </si>
  <si>
    <t>Vyhlášení TPV Děti Br solo STT,        Jun-II E,D,C, Mládež STT C,B</t>
  </si>
  <si>
    <t>Vyhlášení TPV Jun Br,S solo STT, TPV Jun Br duo STT, Dospělí C,B</t>
  </si>
  <si>
    <t>Vystoupení Mzťátka Večerníček</t>
  </si>
  <si>
    <t>Vystoupení Jive MZ Třemošná</t>
  </si>
  <si>
    <t>Vystoupení Mzťátka polka</t>
  </si>
  <si>
    <t>Vyhlášení TPV Jun Br duo LAT, Dospělí LAT E,D,C,B</t>
  </si>
  <si>
    <t>Vyhlášení Jun-I E,C, Jun-II E,C,B,                  TPV Děti Br solo LAT</t>
  </si>
  <si>
    <t>Vystoupení Dyktátorky</t>
  </si>
  <si>
    <t>Vystoupení Filmové hvězdy</t>
  </si>
  <si>
    <t>Vyhlášení Děti-II E,C, Jun-I E,    TPV Br duo</t>
  </si>
  <si>
    <t>Orientační čas - Orientační čas - Orientační čas - Orientační čas - Orientační čas - Orientační čas - Orientační čas - Orientační čas - Orientační čas - Orientační čas - Orientační čas - Orientační čas - Orientační čas  - Orientační čas - Orientační čas - Orientační čas - Orientační čas</t>
  </si>
  <si>
    <t>Vystoupení Vánoční ženy</t>
  </si>
  <si>
    <t>Orientační harmonogram - Malesice 20.12.2025</t>
  </si>
  <si>
    <t xml:space="preserve">Úvod + nástup </t>
  </si>
  <si>
    <t>Název</t>
  </si>
  <si>
    <t>požadavky</t>
  </si>
  <si>
    <t>dopo</t>
  </si>
  <si>
    <t>Senioři od Verči</t>
  </si>
  <si>
    <t>kroužek ZŠ Újezd</t>
  </si>
  <si>
    <t>Mzťátka - Hejbni kostrou</t>
  </si>
  <si>
    <t>odpo</t>
  </si>
  <si>
    <t>TPV Děti-I Br Solo LAT</t>
  </si>
  <si>
    <t>Jun-I D LAT</t>
  </si>
  <si>
    <t>Jun-II D LAT</t>
  </si>
  <si>
    <t>TPV Jun-I S Solo STT</t>
  </si>
  <si>
    <t>TPV Do 8 let N Solo KOMB</t>
  </si>
  <si>
    <t>TPV Děti-I N Solo KOMB</t>
  </si>
  <si>
    <t>TPV Děti-II Br Solo LAT</t>
  </si>
  <si>
    <t>Děti-II D LAT</t>
  </si>
  <si>
    <t>TPV Děti-II N Solo KOMB</t>
  </si>
  <si>
    <t>Jun-I C STT</t>
  </si>
  <si>
    <t>TPV Děti-I Br Solo STT</t>
  </si>
  <si>
    <t>MZ Polka Cup páry</t>
  </si>
  <si>
    <t>MZ Polka Cup sólo</t>
  </si>
  <si>
    <t>TPV Děti-II Br Solo STT</t>
  </si>
  <si>
    <t>Děti-II D STT</t>
  </si>
  <si>
    <t>dětí</t>
  </si>
  <si>
    <t>Seniorky - Nebudeme sedět doma</t>
  </si>
  <si>
    <t>Miniděti - Shrek</t>
  </si>
  <si>
    <t>Děti - Chci tančit</t>
  </si>
  <si>
    <t>w, q, c, j, po</t>
  </si>
  <si>
    <t>sa, c, r, j</t>
  </si>
  <si>
    <t>sa, c, j, po</t>
  </si>
  <si>
    <t>w, t, v, sf, q</t>
  </si>
  <si>
    <t>sa, c, r, pd, j</t>
  </si>
  <si>
    <t>po</t>
  </si>
  <si>
    <t>w, t, v, q</t>
  </si>
  <si>
    <t>w, v, q</t>
  </si>
  <si>
    <t>Jun-I D STT</t>
  </si>
  <si>
    <t>TPV Jun-II Br Solo STT</t>
  </si>
  <si>
    <t>Jun-II B STT</t>
  </si>
  <si>
    <t>TPV Jun-II S Solo STT</t>
  </si>
  <si>
    <t>TPV Jun-I S Solo LAT</t>
  </si>
  <si>
    <t>Dospělí E STT</t>
  </si>
  <si>
    <t>Dospělí D STT</t>
  </si>
  <si>
    <t>TPV Jun-II Br Solo LAT</t>
  </si>
  <si>
    <t>TPV Jun-II S Solo LAT</t>
  </si>
  <si>
    <t>TPV Děti Br Duo LAT</t>
  </si>
  <si>
    <t>sa, c, j</t>
  </si>
  <si>
    <t>Vystoupení TŠ Sedlecký</t>
  </si>
  <si>
    <t>Vystoupení Mzťátka</t>
  </si>
  <si>
    <t>Vystoupení ZŠ Újezd</t>
  </si>
  <si>
    <t>Vystoupení Miniděti - Shrek</t>
  </si>
  <si>
    <t>Vystoupení Děti - Chci tančit</t>
  </si>
  <si>
    <t>Vystoupení Seniorky - Nebudeme sedět doma</t>
  </si>
  <si>
    <t>sál od 7:30</t>
  </si>
  <si>
    <t>Vyhlášení 17, 30, 16</t>
  </si>
  <si>
    <t>Vyhlášení 29, 12, 31, 14, 15, 28</t>
  </si>
  <si>
    <t>Vyhlášení 24, 2, 10, 8, 27</t>
  </si>
  <si>
    <t>Vyhlášení 100, 4, 21</t>
  </si>
  <si>
    <t>Vyhlášení 11, 3, 6, 25</t>
  </si>
  <si>
    <t>Vyhlášení 23, 1, 101, 7, 22</t>
  </si>
  <si>
    <t>Vyhášení 20, 19, 9, 5</t>
  </si>
  <si>
    <t>Úvod + nástup 20, 5</t>
  </si>
  <si>
    <t>Vyhlášení 32, 26,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</si>
</sst>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h:mm:ss;@"/>
  </numFmts>
  <fonts count="15" x14ac:knownFonts="1">
    <font>
      <sz val="10"/>
      <name val="Arial"/>
      <family val="2"/>
      <charset val="238"/>
    </font>
    <font>
      <sz val="10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u/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u/>
      <sz val="18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trike/>
      <sz val="8"/>
      <name val="Arial"/>
      <family val="2"/>
      <charset val="238"/>
    </font>
    <font>
      <b/>
      <sz val="8"/>
      <color rgb="FF0070C0"/>
      <name val="Arial"/>
      <family val="2"/>
      <charset val="238"/>
    </font>
    <font>
      <b/>
      <sz val="10"/>
      <color rgb="FF0070C0"/>
      <name val="Calibri"/>
      <family val="2"/>
      <charset val="238"/>
      <scheme val="minor"/>
    </font>
    <font>
      <sz val="8"/>
      <color rgb="FF0070C0"/>
      <name val="Arial"/>
      <family val="2"/>
      <charset val="238"/>
    </font>
    <font>
      <b/>
      <sz val="8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dotted">
        <color auto="1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/>
    <xf numFmtId="0" fontId="4" fillId="0" borderId="0" xfId="0" applyFont="1"/>
    <xf numFmtId="0" fontId="6" fillId="0" borderId="0" xfId="0" applyFont="1"/>
    <xf numFmtId="0" fontId="1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5" fontId="1" fillId="0" borderId="1" xfId="0" applyNumberFormat="1" applyFont="1" applyBorder="1"/>
    <xf numFmtId="0" fontId="4" fillId="0" borderId="1" xfId="0" applyFont="1" applyBorder="1"/>
    <xf numFmtId="164" fontId="1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7" fillId="0" borderId="1" xfId="0" applyFont="1" applyBorder="1"/>
    <xf numFmtId="0" fontId="6" fillId="0" borderId="1" xfId="0" applyFont="1" applyBorder="1"/>
    <xf numFmtId="165" fontId="8" fillId="0" borderId="1" xfId="0" applyNumberFormat="1" applyFont="1" applyBorder="1"/>
    <xf numFmtId="0" fontId="9" fillId="0" borderId="0" xfId="0" applyFont="1"/>
    <xf numFmtId="20" fontId="9" fillId="0" borderId="0" xfId="0" applyNumberFormat="1" applyFont="1"/>
    <xf numFmtId="0" fontId="6" fillId="2" borderId="0" xfId="0" applyFont="1" applyFill="1"/>
    <xf numFmtId="0" fontId="3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/>
    <xf numFmtId="20" fontId="6" fillId="0" borderId="1" xfId="0" applyNumberFormat="1" applyFont="1" applyBorder="1"/>
    <xf numFmtId="164" fontId="10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horizontal="center" vertical="center" textRotation="90"/>
    </xf>
    <xf numFmtId="0" fontId="7" fillId="0" borderId="1" xfId="0" applyFont="1" applyBorder="1" applyAlignment="1">
      <alignment vertical="center" wrapText="1"/>
    </xf>
    <xf numFmtId="0" fontId="1" fillId="0" borderId="2" xfId="0" applyFont="1" applyBorder="1"/>
    <xf numFmtId="0" fontId="6" fillId="0" borderId="2" xfId="0" applyFont="1" applyBorder="1"/>
    <xf numFmtId="20" fontId="0" fillId="0" borderId="0" xfId="0" applyNumberFormat="1"/>
    <xf numFmtId="0" fontId="6" fillId="0" borderId="0" xfId="0" applyFont="1" applyAlignment="1">
      <alignment horizontal="left"/>
    </xf>
    <xf numFmtId="0" fontId="5" fillId="0" borderId="0" xfId="0" applyFont="1"/>
    <xf numFmtId="20" fontId="6" fillId="0" borderId="0" xfId="0" applyNumberFormat="1" applyFont="1" applyAlignment="1">
      <alignment horizontal="left"/>
    </xf>
    <xf numFmtId="20" fontId="6" fillId="2" borderId="0" xfId="0" applyNumberFormat="1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2" fillId="2" borderId="0" xfId="0" applyFont="1" applyFill="1"/>
    <xf numFmtId="20" fontId="11" fillId="2" borderId="0" xfId="0" applyNumberFormat="1" applyFont="1" applyFill="1" applyAlignment="1">
      <alignment horizontal="left"/>
    </xf>
    <xf numFmtId="0" fontId="11" fillId="2" borderId="0" xfId="0" applyFont="1" applyFill="1"/>
    <xf numFmtId="164" fontId="6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165" fontId="6" fillId="0" borderId="4" xfId="0" applyNumberFormat="1" applyFont="1" applyBorder="1" applyAlignment="1">
      <alignment horizontal="right"/>
    </xf>
    <xf numFmtId="0" fontId="7" fillId="0" borderId="4" xfId="0" applyFont="1" applyBorder="1"/>
    <xf numFmtId="164" fontId="10" fillId="0" borderId="5" xfId="0" applyNumberFormat="1" applyFont="1" applyBorder="1" applyAlignment="1">
      <alignment horizontal="right"/>
    </xf>
    <xf numFmtId="164" fontId="6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165" fontId="6" fillId="0" borderId="5" xfId="0" applyNumberFormat="1" applyFont="1" applyBorder="1"/>
    <xf numFmtId="20" fontId="6" fillId="0" borderId="5" xfId="0" applyNumberFormat="1" applyFont="1" applyBorder="1"/>
    <xf numFmtId="164" fontId="6" fillId="0" borderId="3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165" fontId="6" fillId="0" borderId="3" xfId="0" applyNumberFormat="1" applyFont="1" applyBorder="1"/>
    <xf numFmtId="0" fontId="7" fillId="0" borderId="3" xfId="0" applyFont="1" applyBorder="1"/>
    <xf numFmtId="20" fontId="6" fillId="0" borderId="3" xfId="0" applyNumberFormat="1" applyFont="1" applyBorder="1"/>
    <xf numFmtId="164" fontId="10" fillId="0" borderId="3" xfId="0" applyNumberFormat="1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3" xfId="0" applyFont="1" applyBorder="1" applyAlignment="1">
      <alignment horizontal="center"/>
    </xf>
    <xf numFmtId="0" fontId="7" fillId="2" borderId="3" xfId="0" applyFont="1" applyFill="1" applyBorder="1"/>
    <xf numFmtId="0" fontId="6" fillId="2" borderId="3" xfId="0" applyFont="1" applyFill="1" applyBorder="1"/>
    <xf numFmtId="0" fontId="11" fillId="0" borderId="3" xfId="0" applyFont="1" applyBorder="1" applyAlignment="1">
      <alignment horizontal="right"/>
    </xf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165" fontId="11" fillId="0" borderId="3" xfId="0" applyNumberFormat="1" applyFont="1" applyBorder="1"/>
    <xf numFmtId="20" fontId="11" fillId="0" borderId="3" xfId="0" applyNumberFormat="1" applyFont="1" applyBorder="1"/>
    <xf numFmtId="0" fontId="11" fillId="2" borderId="3" xfId="0" applyFont="1" applyFill="1" applyBorder="1"/>
    <xf numFmtId="0" fontId="7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165" fontId="13" fillId="0" borderId="3" xfId="0" applyNumberFormat="1" applyFont="1" applyBorder="1"/>
    <xf numFmtId="0" fontId="11" fillId="0" borderId="3" xfId="0" applyFont="1" applyBorder="1" applyAlignment="1">
      <alignment wrapText="1"/>
    </xf>
    <xf numFmtId="0" fontId="7" fillId="0" borderId="6" xfId="0" applyFont="1" applyBorder="1" applyAlignment="1">
      <alignment horizontal="center" vertical="center" textRotation="90"/>
    </xf>
    <xf numFmtId="20" fontId="14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"/>
  <sheetViews>
    <sheetView tabSelected="1" topLeftCell="A36" zoomScale="130" zoomScaleNormal="130" workbookViewId="0">
      <selection activeCell="B40" sqref="B40"/>
    </sheetView>
  </sheetViews>
  <sheetFormatPr defaultColWidth="9.140625" defaultRowHeight="12.75" x14ac:dyDescent="0.2"/>
  <cols>
    <col min="1" max="1" width="3" style="1" customWidth="1"/>
    <col min="2" max="2" width="5.7109375" style="4" customWidth="1"/>
    <col min="3" max="3" width="6" style="6" customWidth="1"/>
    <col min="4" max="4" width="3.5703125" style="27" customWidth="1"/>
    <col min="5" max="5" width="26" style="1" customWidth="1"/>
    <col min="6" max="6" width="9.5703125" style="5" customWidth="1"/>
    <col min="7" max="7" width="3.42578125" style="1" customWidth="1"/>
    <col min="8" max="8" width="3.28515625" style="1" customWidth="1"/>
    <col min="9" max="9" width="7.5703125" style="2" customWidth="1"/>
    <col min="10" max="10" width="4" style="8" bestFit="1" customWidth="1"/>
    <col min="11" max="11" width="2.5703125" style="1" customWidth="1"/>
    <col min="12" max="12" width="6.5703125" style="1" customWidth="1"/>
    <col min="13" max="13" width="0.85546875" style="3" customWidth="1"/>
    <col min="14" max="14" width="9.5703125" style="9" customWidth="1"/>
    <col min="15" max="15" width="7.85546875" style="1" customWidth="1"/>
    <col min="16" max="16384" width="9.140625" style="1"/>
  </cols>
  <sheetData>
    <row r="1" spans="1:26" ht="21" customHeight="1" x14ac:dyDescent="0.35">
      <c r="A1" s="41"/>
      <c r="B1" s="22" t="s">
        <v>58</v>
      </c>
      <c r="C1" s="11"/>
      <c r="D1" s="26"/>
      <c r="E1" s="12"/>
      <c r="F1" s="13"/>
      <c r="G1" s="12"/>
      <c r="H1" s="12"/>
      <c r="I1" s="14"/>
      <c r="J1" s="15"/>
      <c r="K1" s="10"/>
      <c r="L1" s="19" t="s">
        <v>111</v>
      </c>
    </row>
    <row r="2" spans="1:26" ht="6" customHeight="1" x14ac:dyDescent="0.2">
      <c r="A2" s="41"/>
      <c r="B2" s="16"/>
      <c r="C2" s="17"/>
      <c r="D2" s="19"/>
      <c r="E2" s="10"/>
      <c r="F2" s="18"/>
      <c r="G2" s="10"/>
      <c r="H2" s="10"/>
      <c r="I2" s="14"/>
      <c r="J2" s="15"/>
      <c r="K2" s="10"/>
      <c r="L2" s="10"/>
    </row>
    <row r="3" spans="1:26" x14ac:dyDescent="0.2">
      <c r="A3" s="42"/>
      <c r="B3" s="54"/>
      <c r="C3" s="55"/>
      <c r="D3" s="56" t="s">
        <v>7</v>
      </c>
      <c r="E3" s="57"/>
      <c r="F3" s="58"/>
      <c r="G3" s="56" t="s">
        <v>8</v>
      </c>
      <c r="H3" s="56" t="s">
        <v>6</v>
      </c>
      <c r="I3" s="59" t="s">
        <v>0</v>
      </c>
      <c r="J3" s="60">
        <f>SUM(J5:J82)</f>
        <v>203</v>
      </c>
      <c r="K3" s="57"/>
      <c r="L3" s="56" t="s">
        <v>4</v>
      </c>
      <c r="M3" s="44"/>
    </row>
    <row r="4" spans="1:26" ht="14.1" customHeight="1" x14ac:dyDescent="0.2">
      <c r="A4" s="93" t="s">
        <v>56</v>
      </c>
      <c r="B4" s="69">
        <v>0.35416666666666669</v>
      </c>
      <c r="C4" s="70">
        <f t="shared" ref="C4:C66" si="0">G4*H4*I4</f>
        <v>3.472222222222222E-3</v>
      </c>
      <c r="D4" s="71"/>
      <c r="E4" s="92" t="s">
        <v>119</v>
      </c>
      <c r="F4" s="89"/>
      <c r="G4" s="90">
        <v>1</v>
      </c>
      <c r="H4" s="90">
        <v>1</v>
      </c>
      <c r="I4" s="91">
        <v>3.472222222222222E-3</v>
      </c>
      <c r="J4" s="83"/>
      <c r="K4" s="73"/>
      <c r="L4" s="76"/>
      <c r="M4" s="44"/>
    </row>
    <row r="5" spans="1:26" x14ac:dyDescent="0.2">
      <c r="A5" s="93"/>
      <c r="B5" s="77">
        <f t="shared" ref="B5:B66" si="1">B4+C4</f>
        <v>0.3576388888888889</v>
      </c>
      <c r="C5" s="70">
        <f t="shared" si="0"/>
        <v>6.9444444444444449E-3</v>
      </c>
      <c r="D5" s="78">
        <v>20</v>
      </c>
      <c r="E5" s="75" t="s">
        <v>72</v>
      </c>
      <c r="F5" s="79" t="s">
        <v>2</v>
      </c>
      <c r="G5" s="73">
        <v>5</v>
      </c>
      <c r="H5" s="73">
        <v>1</v>
      </c>
      <c r="I5" s="74">
        <v>1.3888888888888889E-3</v>
      </c>
      <c r="J5" s="80">
        <v>8</v>
      </c>
      <c r="K5" s="73"/>
      <c r="L5" s="76">
        <v>0.34375</v>
      </c>
      <c r="M5" s="44"/>
      <c r="N5" s="9" t="s">
        <v>86</v>
      </c>
    </row>
    <row r="6" spans="1:26" x14ac:dyDescent="0.2">
      <c r="A6" s="93"/>
      <c r="B6" s="77">
        <f t="shared" si="1"/>
        <v>0.36458333333333331</v>
      </c>
      <c r="C6" s="70">
        <f t="shared" si="0"/>
        <v>5.5555555555555558E-3</v>
      </c>
      <c r="D6" s="78">
        <v>5</v>
      </c>
      <c r="E6" s="75" t="s">
        <v>68</v>
      </c>
      <c r="F6" s="79" t="s">
        <v>1</v>
      </c>
      <c r="G6" s="73">
        <v>4</v>
      </c>
      <c r="H6" s="73">
        <v>1</v>
      </c>
      <c r="I6" s="74">
        <v>1.3888888888888889E-3</v>
      </c>
      <c r="J6" s="80">
        <v>4</v>
      </c>
      <c r="K6" s="73"/>
      <c r="L6" s="76">
        <v>0.35416666666666669</v>
      </c>
      <c r="M6" s="44"/>
      <c r="N6" s="9" t="s">
        <v>87</v>
      </c>
    </row>
    <row r="7" spans="1:26" s="50" customFormat="1" x14ac:dyDescent="0.2">
      <c r="A7" s="93"/>
      <c r="B7" s="77">
        <f t="shared" si="1"/>
        <v>0.37013888888888885</v>
      </c>
      <c r="C7" s="70">
        <f t="shared" si="0"/>
        <v>6.9444444444444449E-3</v>
      </c>
      <c r="D7" s="71">
        <v>20</v>
      </c>
      <c r="E7" s="73" t="s">
        <v>72</v>
      </c>
      <c r="F7" s="72" t="s">
        <v>1</v>
      </c>
      <c r="G7" s="73">
        <v>5</v>
      </c>
      <c r="H7" s="73">
        <v>1</v>
      </c>
      <c r="I7" s="74">
        <v>1.3888888888888889E-3</v>
      </c>
      <c r="J7" s="81"/>
      <c r="K7" s="73">
        <v>5</v>
      </c>
      <c r="L7" s="1"/>
      <c r="M7" s="44"/>
      <c r="N7" s="9"/>
      <c r="X7" s="48"/>
      <c r="Y7" s="49"/>
    </row>
    <row r="8" spans="1:26" x14ac:dyDescent="0.2">
      <c r="A8" s="93"/>
      <c r="B8" s="77">
        <f t="shared" si="1"/>
        <v>0.37708333333333327</v>
      </c>
      <c r="C8" s="70">
        <f t="shared" si="0"/>
        <v>5.5555555555555558E-3</v>
      </c>
      <c r="D8" s="78">
        <v>9</v>
      </c>
      <c r="E8" s="75" t="s">
        <v>69</v>
      </c>
      <c r="F8" s="79" t="s">
        <v>1</v>
      </c>
      <c r="G8" s="73">
        <v>4</v>
      </c>
      <c r="H8" s="73">
        <v>1</v>
      </c>
      <c r="I8" s="74">
        <v>1.3888888888888889E-3</v>
      </c>
      <c r="J8" s="75">
        <v>3</v>
      </c>
      <c r="K8" s="73"/>
      <c r="L8" s="76">
        <v>0.35416666666666669</v>
      </c>
      <c r="M8" s="44"/>
      <c r="N8" s="9" t="s">
        <v>87</v>
      </c>
    </row>
    <row r="9" spans="1:26" x14ac:dyDescent="0.2">
      <c r="A9" s="93"/>
      <c r="B9" s="77">
        <f t="shared" si="1"/>
        <v>0.38263888888888881</v>
      </c>
      <c r="C9" s="70">
        <f t="shared" si="0"/>
        <v>6.9444444444444449E-3</v>
      </c>
      <c r="D9" s="78">
        <v>19</v>
      </c>
      <c r="E9" s="75" t="s">
        <v>71</v>
      </c>
      <c r="F9" s="79" t="s">
        <v>1</v>
      </c>
      <c r="G9" s="73">
        <v>5</v>
      </c>
      <c r="H9" s="73">
        <v>1</v>
      </c>
      <c r="I9" s="74">
        <v>1.3888888888888889E-3</v>
      </c>
      <c r="J9" s="75">
        <v>2</v>
      </c>
      <c r="K9" s="73"/>
      <c r="L9" s="76">
        <v>0.36458333333333331</v>
      </c>
      <c r="M9" s="44"/>
      <c r="N9" s="23" t="s">
        <v>86</v>
      </c>
    </row>
    <row r="10" spans="1:26" s="50" customFormat="1" x14ac:dyDescent="0.2">
      <c r="A10" s="93"/>
      <c r="B10" s="77">
        <f t="shared" si="1"/>
        <v>0.38958333333333323</v>
      </c>
      <c r="C10" s="70">
        <f t="shared" si="0"/>
        <v>2.7777777777777779E-3</v>
      </c>
      <c r="E10" s="83" t="s">
        <v>110</v>
      </c>
      <c r="F10" s="84"/>
      <c r="G10" s="83">
        <v>1</v>
      </c>
      <c r="H10" s="83">
        <v>1</v>
      </c>
      <c r="I10" s="85">
        <v>2.7777777777777779E-3</v>
      </c>
      <c r="J10" s="83"/>
      <c r="K10" s="83"/>
      <c r="L10" s="86"/>
    </row>
    <row r="11" spans="1:26" s="50" customFormat="1" x14ac:dyDescent="0.2">
      <c r="A11" s="93"/>
      <c r="B11" s="77">
        <f t="shared" si="1"/>
        <v>0.39236111111111099</v>
      </c>
      <c r="C11" s="70">
        <f t="shared" si="0"/>
        <v>8.3333333333333332E-3</v>
      </c>
      <c r="D11" s="82"/>
      <c r="E11" s="83" t="s">
        <v>118</v>
      </c>
      <c r="F11" s="84"/>
      <c r="G11" s="83">
        <v>1</v>
      </c>
      <c r="H11" s="83">
        <v>4</v>
      </c>
      <c r="I11" s="85">
        <v>2.0833333333333333E-3</v>
      </c>
      <c r="J11" s="83"/>
      <c r="K11" s="83"/>
      <c r="L11" s="86"/>
      <c r="M11" s="48"/>
      <c r="N11" s="49"/>
      <c r="X11" s="76"/>
      <c r="Y11" s="44"/>
      <c r="Z11" s="23"/>
    </row>
    <row r="12" spans="1:26" s="50" customFormat="1" x14ac:dyDescent="0.2">
      <c r="A12" s="93"/>
      <c r="B12" s="77">
        <f t="shared" si="1"/>
        <v>0.40069444444444435</v>
      </c>
      <c r="C12" s="70">
        <f t="shared" si="0"/>
        <v>6.9444444444444449E-3</v>
      </c>
      <c r="D12" s="78">
        <v>23</v>
      </c>
      <c r="E12" s="75" t="s">
        <v>75</v>
      </c>
      <c r="F12" s="79" t="s">
        <v>2</v>
      </c>
      <c r="G12" s="73">
        <v>5</v>
      </c>
      <c r="H12" s="73">
        <v>1</v>
      </c>
      <c r="I12" s="74">
        <v>1.3888888888888889E-3</v>
      </c>
      <c r="J12" s="80">
        <v>8</v>
      </c>
      <c r="K12" s="73"/>
      <c r="L12" s="76">
        <v>0.38541666666666669</v>
      </c>
      <c r="M12" s="44"/>
      <c r="N12" s="24" t="s">
        <v>86</v>
      </c>
    </row>
    <row r="13" spans="1:26" s="50" customFormat="1" x14ac:dyDescent="0.2">
      <c r="A13" s="93"/>
      <c r="B13" s="77">
        <f t="shared" si="1"/>
        <v>0.40763888888888877</v>
      </c>
      <c r="C13" s="70">
        <f t="shared" si="0"/>
        <v>6.9444444444444449E-3</v>
      </c>
      <c r="D13" s="78">
        <v>1</v>
      </c>
      <c r="E13" s="75" t="s">
        <v>21</v>
      </c>
      <c r="F13" s="79" t="s">
        <v>1</v>
      </c>
      <c r="G13" s="73">
        <v>5</v>
      </c>
      <c r="H13" s="73">
        <v>1</v>
      </c>
      <c r="I13" s="74">
        <v>1.3888888888888889E-3</v>
      </c>
      <c r="J13" s="75">
        <v>4</v>
      </c>
      <c r="K13" s="73"/>
      <c r="L13" s="76">
        <v>0.39583333333333331</v>
      </c>
      <c r="N13" s="23" t="s">
        <v>86</v>
      </c>
    </row>
    <row r="14" spans="1:26" s="50" customFormat="1" x14ac:dyDescent="0.2">
      <c r="A14" s="93"/>
      <c r="B14" s="77">
        <f t="shared" si="1"/>
        <v>0.41458333333333319</v>
      </c>
      <c r="C14" s="70">
        <f t="shared" si="0"/>
        <v>6.9444444444444449E-3</v>
      </c>
      <c r="D14" s="71">
        <v>23</v>
      </c>
      <c r="E14" s="73" t="s">
        <v>75</v>
      </c>
      <c r="F14" s="72" t="s">
        <v>1</v>
      </c>
      <c r="G14" s="73">
        <v>5</v>
      </c>
      <c r="H14" s="73">
        <v>1</v>
      </c>
      <c r="I14" s="74">
        <v>1.3888888888888889E-3</v>
      </c>
      <c r="J14" s="81"/>
      <c r="K14" s="73">
        <v>5</v>
      </c>
      <c r="L14" s="76"/>
    </row>
    <row r="15" spans="1:26" x14ac:dyDescent="0.2">
      <c r="A15" s="93"/>
      <c r="B15" s="77">
        <f t="shared" si="1"/>
        <v>0.42152777777777761</v>
      </c>
      <c r="C15" s="70">
        <f t="shared" si="0"/>
        <v>1.3888888888888889E-3</v>
      </c>
      <c r="D15" s="78">
        <v>101</v>
      </c>
      <c r="E15" s="75" t="s">
        <v>78</v>
      </c>
      <c r="F15" s="79" t="s">
        <v>1</v>
      </c>
      <c r="G15" s="73">
        <v>1</v>
      </c>
      <c r="H15" s="73">
        <v>1</v>
      </c>
      <c r="I15" s="74">
        <v>1.3888888888888889E-3</v>
      </c>
      <c r="J15" s="75">
        <v>5</v>
      </c>
      <c r="K15" s="73"/>
      <c r="L15" s="76">
        <v>0.40625</v>
      </c>
      <c r="M15" s="44"/>
      <c r="N15" s="23" t="s">
        <v>91</v>
      </c>
    </row>
    <row r="16" spans="1:26" x14ac:dyDescent="0.2">
      <c r="A16" s="93"/>
      <c r="B16" s="77">
        <f t="shared" si="1"/>
        <v>0.4229166666666665</v>
      </c>
      <c r="C16" s="70">
        <f t="shared" si="0"/>
        <v>6.9444444444444449E-3</v>
      </c>
      <c r="D16" s="78">
        <v>7</v>
      </c>
      <c r="E16" s="75" t="s">
        <v>29</v>
      </c>
      <c r="F16" s="79" t="s">
        <v>1</v>
      </c>
      <c r="G16" s="73">
        <v>5</v>
      </c>
      <c r="H16" s="73">
        <v>1</v>
      </c>
      <c r="I16" s="74">
        <v>1.3888888888888889E-3</v>
      </c>
      <c r="J16" s="75">
        <v>3</v>
      </c>
      <c r="K16" s="73"/>
      <c r="L16" s="76">
        <v>0.41666666666666669</v>
      </c>
      <c r="M16" s="44"/>
      <c r="N16" s="9" t="s">
        <v>90</v>
      </c>
    </row>
    <row r="17" spans="1:15" s="50" customFormat="1" x14ac:dyDescent="0.2">
      <c r="A17" s="93"/>
      <c r="B17" s="77">
        <f t="shared" si="1"/>
        <v>0.42986111111111092</v>
      </c>
      <c r="C17" s="70">
        <f t="shared" si="0"/>
        <v>3.472222222222222E-3</v>
      </c>
      <c r="D17" s="82"/>
      <c r="E17" s="83" t="s">
        <v>109</v>
      </c>
      <c r="F17" s="84"/>
      <c r="G17" s="83">
        <v>1</v>
      </c>
      <c r="H17" s="83">
        <v>1</v>
      </c>
      <c r="I17" s="85">
        <v>3.472222222222222E-3</v>
      </c>
      <c r="J17" s="83"/>
      <c r="K17" s="83"/>
      <c r="L17" s="86"/>
      <c r="M17" s="48"/>
      <c r="N17" s="49"/>
      <c r="O17" s="49"/>
    </row>
    <row r="18" spans="1:15" s="50" customFormat="1" x14ac:dyDescent="0.2">
      <c r="A18" s="93"/>
      <c r="B18" s="77">
        <f t="shared" si="1"/>
        <v>0.43333333333333313</v>
      </c>
      <c r="C18" s="70">
        <f t="shared" si="0"/>
        <v>1.0416666666666666E-2</v>
      </c>
      <c r="D18" s="82"/>
      <c r="E18" s="83" t="s">
        <v>117</v>
      </c>
      <c r="F18" s="84"/>
      <c r="G18" s="83">
        <v>1</v>
      </c>
      <c r="H18" s="83">
        <v>5</v>
      </c>
      <c r="I18" s="85">
        <v>2.0833333333333333E-3</v>
      </c>
      <c r="J18" s="83"/>
      <c r="K18" s="83"/>
      <c r="L18" s="86"/>
      <c r="M18" s="48"/>
      <c r="N18" s="49"/>
      <c r="O18" s="49"/>
    </row>
    <row r="19" spans="1:15" x14ac:dyDescent="0.2">
      <c r="A19" s="93"/>
      <c r="B19" s="77">
        <f t="shared" si="1"/>
        <v>0.44374999999999981</v>
      </c>
      <c r="C19" s="70">
        <f t="shared" si="0"/>
        <v>6.9444444444444449E-3</v>
      </c>
      <c r="D19" s="78">
        <v>11</v>
      </c>
      <c r="E19" s="75" t="s">
        <v>30</v>
      </c>
      <c r="F19" s="79" t="s">
        <v>1</v>
      </c>
      <c r="G19" s="73">
        <v>5</v>
      </c>
      <c r="H19" s="73">
        <v>1</v>
      </c>
      <c r="I19" s="74">
        <v>1.3888888888888889E-3</v>
      </c>
      <c r="J19" s="75">
        <v>3</v>
      </c>
      <c r="K19" s="73"/>
      <c r="L19" s="76">
        <v>0.44791666666666669</v>
      </c>
      <c r="M19" s="44"/>
      <c r="N19" s="9" t="s">
        <v>90</v>
      </c>
    </row>
    <row r="20" spans="1:15" x14ac:dyDescent="0.2">
      <c r="A20" s="93"/>
      <c r="B20" s="77">
        <f t="shared" si="1"/>
        <v>0.45069444444444423</v>
      </c>
      <c r="C20" s="70">
        <f t="shared" si="0"/>
        <v>5.5555555555555558E-3</v>
      </c>
      <c r="D20" s="78">
        <v>3</v>
      </c>
      <c r="E20" s="75" t="s">
        <v>74</v>
      </c>
      <c r="F20" s="79" t="s">
        <v>1</v>
      </c>
      <c r="G20" s="73">
        <v>4</v>
      </c>
      <c r="H20" s="73">
        <v>1</v>
      </c>
      <c r="I20" s="74">
        <v>1.3888888888888889E-3</v>
      </c>
      <c r="J20" s="75">
        <v>4</v>
      </c>
      <c r="K20" s="73"/>
      <c r="L20" s="76">
        <v>0.45833333333333331</v>
      </c>
      <c r="M20" s="44"/>
      <c r="N20" s="24" t="s">
        <v>88</v>
      </c>
      <c r="O20" s="9"/>
    </row>
    <row r="21" spans="1:15" x14ac:dyDescent="0.2">
      <c r="A21" s="93"/>
      <c r="B21" s="77">
        <f t="shared" si="1"/>
        <v>0.45624999999999977</v>
      </c>
      <c r="C21" s="70">
        <f t="shared" si="0"/>
        <v>6.9444444444444449E-3</v>
      </c>
      <c r="D21" s="27">
        <v>13</v>
      </c>
      <c r="E21" s="75" t="s">
        <v>31</v>
      </c>
      <c r="F21" s="79" t="s">
        <v>1</v>
      </c>
      <c r="G21" s="73">
        <v>5</v>
      </c>
      <c r="H21" s="73">
        <v>1</v>
      </c>
      <c r="I21" s="74">
        <v>1.3888888888888889E-3</v>
      </c>
      <c r="J21" s="8">
        <v>1</v>
      </c>
      <c r="L21" s="94">
        <v>0.47916666666666669</v>
      </c>
      <c r="N21" s="9" t="s">
        <v>90</v>
      </c>
      <c r="O21" s="9"/>
    </row>
    <row r="22" spans="1:15" s="50" customFormat="1" x14ac:dyDescent="0.2">
      <c r="A22" s="93"/>
      <c r="B22" s="77">
        <f t="shared" si="1"/>
        <v>0.46319444444444419</v>
      </c>
      <c r="C22" s="70">
        <f t="shared" si="0"/>
        <v>2.0833333333333333E-3</v>
      </c>
      <c r="D22" s="82"/>
      <c r="E22" s="83" t="s">
        <v>108</v>
      </c>
      <c r="F22" s="84"/>
      <c r="G22" s="83">
        <v>1</v>
      </c>
      <c r="H22" s="83">
        <v>1</v>
      </c>
      <c r="I22" s="85">
        <v>2.0833333333333333E-3</v>
      </c>
      <c r="J22" s="83"/>
      <c r="K22" s="83"/>
      <c r="L22" s="86"/>
      <c r="M22" s="48"/>
      <c r="N22" s="49"/>
      <c r="O22" s="49"/>
    </row>
    <row r="23" spans="1:15" s="50" customFormat="1" x14ac:dyDescent="0.2">
      <c r="A23" s="93"/>
      <c r="B23" s="77">
        <f t="shared" si="1"/>
        <v>0.46527777777777751</v>
      </c>
      <c r="C23" s="70">
        <f t="shared" si="0"/>
        <v>8.3333333333333332E-3</v>
      </c>
      <c r="D23" s="82"/>
      <c r="E23" s="83" t="s">
        <v>116</v>
      </c>
      <c r="F23" s="84"/>
      <c r="G23" s="83">
        <v>1</v>
      </c>
      <c r="H23" s="83">
        <v>4</v>
      </c>
      <c r="I23" s="85">
        <v>2.0833333333333333E-3</v>
      </c>
      <c r="J23" s="83"/>
      <c r="K23" s="83"/>
      <c r="L23" s="86"/>
      <c r="M23" s="48"/>
      <c r="N23" s="49"/>
      <c r="O23" s="49"/>
    </row>
    <row r="24" spans="1:15" x14ac:dyDescent="0.2">
      <c r="A24" s="93"/>
      <c r="B24" s="77">
        <f t="shared" si="1"/>
        <v>0.47361111111111087</v>
      </c>
      <c r="C24" s="70">
        <f t="shared" si="0"/>
        <v>4.1666666666666666E-3</v>
      </c>
      <c r="D24" s="78">
        <v>21</v>
      </c>
      <c r="E24" s="75" t="s">
        <v>77</v>
      </c>
      <c r="F24" s="79" t="s">
        <v>2</v>
      </c>
      <c r="G24" s="73">
        <v>3</v>
      </c>
      <c r="H24" s="73">
        <v>1</v>
      </c>
      <c r="I24" s="74">
        <v>1.3888888888888889E-3</v>
      </c>
      <c r="J24" s="80">
        <v>12</v>
      </c>
      <c r="K24" s="73"/>
      <c r="L24" s="76">
        <v>0.48958333333333331</v>
      </c>
      <c r="M24" s="44"/>
      <c r="N24" s="23" t="s">
        <v>93</v>
      </c>
      <c r="O24" s="9"/>
    </row>
    <row r="25" spans="1:15" x14ac:dyDescent="0.2">
      <c r="A25" s="93"/>
      <c r="B25" s="77">
        <f t="shared" si="1"/>
        <v>0.47777777777777752</v>
      </c>
      <c r="C25" s="70">
        <f t="shared" si="0"/>
        <v>2.7777777777777779E-3</v>
      </c>
      <c r="D25" s="78">
        <v>100</v>
      </c>
      <c r="E25" s="75" t="s">
        <v>79</v>
      </c>
      <c r="F25" s="79" t="s">
        <v>5</v>
      </c>
      <c r="G25" s="73">
        <v>1</v>
      </c>
      <c r="H25" s="73">
        <v>2</v>
      </c>
      <c r="I25" s="74">
        <v>1.3888888888888889E-3</v>
      </c>
      <c r="J25" s="75">
        <v>14</v>
      </c>
      <c r="K25" s="73"/>
      <c r="L25" s="76">
        <v>0.5</v>
      </c>
      <c r="M25" s="44"/>
      <c r="N25" s="23" t="s">
        <v>91</v>
      </c>
      <c r="O25" s="9"/>
    </row>
    <row r="26" spans="1:15" x14ac:dyDescent="0.2">
      <c r="A26" s="93"/>
      <c r="B26" s="77">
        <f t="shared" si="1"/>
        <v>0.48055555555555529</v>
      </c>
      <c r="C26" s="70">
        <f t="shared" si="0"/>
        <v>4.1666666666666666E-3</v>
      </c>
      <c r="D26" s="71">
        <v>21</v>
      </c>
      <c r="E26" s="73" t="s">
        <v>77</v>
      </c>
      <c r="F26" s="72" t="s">
        <v>1</v>
      </c>
      <c r="G26" s="73">
        <v>3</v>
      </c>
      <c r="H26" s="73">
        <v>1</v>
      </c>
      <c r="I26" s="74">
        <v>1.3888888888888889E-3</v>
      </c>
      <c r="J26" s="73"/>
      <c r="K26" s="73">
        <v>6</v>
      </c>
      <c r="L26" s="76"/>
      <c r="M26" s="44"/>
      <c r="N26" s="23"/>
      <c r="O26" s="9"/>
    </row>
    <row r="27" spans="1:15" x14ac:dyDescent="0.2">
      <c r="A27" s="93"/>
      <c r="B27" s="77">
        <f t="shared" si="1"/>
        <v>0.48472222222222194</v>
      </c>
      <c r="C27" s="70">
        <f t="shared" si="0"/>
        <v>5.5555555555555558E-3</v>
      </c>
      <c r="D27" s="78">
        <v>4</v>
      </c>
      <c r="E27" s="75" t="s">
        <v>94</v>
      </c>
      <c r="F27" s="79" t="s">
        <v>1</v>
      </c>
      <c r="G27" s="73">
        <v>4</v>
      </c>
      <c r="H27" s="73">
        <v>1</v>
      </c>
      <c r="I27" s="74">
        <v>1.3888888888888889E-3</v>
      </c>
      <c r="J27" s="75">
        <v>3</v>
      </c>
      <c r="K27" s="73"/>
      <c r="L27" s="76">
        <v>0.51041666666666663</v>
      </c>
      <c r="M27" s="44"/>
      <c r="N27" s="9" t="s">
        <v>92</v>
      </c>
      <c r="O27" s="9"/>
    </row>
    <row r="28" spans="1:15" x14ac:dyDescent="0.2">
      <c r="A28" s="93"/>
      <c r="B28" s="77">
        <f t="shared" si="1"/>
        <v>0.49027777777777748</v>
      </c>
      <c r="C28" s="70">
        <f t="shared" si="0"/>
        <v>1.3888888888888889E-3</v>
      </c>
      <c r="D28" s="71">
        <v>100</v>
      </c>
      <c r="E28" s="73" t="s">
        <v>79</v>
      </c>
      <c r="F28" s="72" t="s">
        <v>2</v>
      </c>
      <c r="G28" s="73">
        <v>1</v>
      </c>
      <c r="H28" s="73">
        <v>1</v>
      </c>
      <c r="I28" s="74">
        <v>1.3888888888888889E-3</v>
      </c>
      <c r="J28" s="73"/>
      <c r="K28" s="73">
        <v>10</v>
      </c>
      <c r="L28" s="76"/>
      <c r="M28" s="44"/>
      <c r="N28" s="23"/>
      <c r="O28" s="9"/>
    </row>
    <row r="29" spans="1:15" x14ac:dyDescent="0.2">
      <c r="A29" s="93"/>
      <c r="B29" s="77">
        <f t="shared" si="1"/>
        <v>0.49166666666666636</v>
      </c>
      <c r="C29" s="70">
        <f t="shared" si="0"/>
        <v>4.1666666666666666E-3</v>
      </c>
      <c r="D29" s="71">
        <v>21</v>
      </c>
      <c r="E29" s="73" t="s">
        <v>77</v>
      </c>
      <c r="F29" s="72" t="s">
        <v>1</v>
      </c>
      <c r="G29" s="73">
        <v>3</v>
      </c>
      <c r="H29" s="73">
        <v>1</v>
      </c>
      <c r="I29" s="74">
        <v>1.3888888888888889E-3</v>
      </c>
      <c r="J29" s="73"/>
      <c r="K29" s="73">
        <v>6</v>
      </c>
      <c r="L29" s="76"/>
      <c r="M29" s="44"/>
      <c r="N29" s="23"/>
      <c r="O29" s="9"/>
    </row>
    <row r="30" spans="1:15" x14ac:dyDescent="0.2">
      <c r="A30" s="93"/>
      <c r="B30" s="77">
        <f t="shared" si="1"/>
        <v>0.49583333333333302</v>
      </c>
      <c r="C30" s="70">
        <f t="shared" si="0"/>
        <v>1.3888888888888889E-3</v>
      </c>
      <c r="D30" s="71">
        <v>100</v>
      </c>
      <c r="E30" s="73" t="s">
        <v>79</v>
      </c>
      <c r="F30" s="72" t="s">
        <v>1</v>
      </c>
      <c r="G30" s="73">
        <v>1</v>
      </c>
      <c r="H30" s="73">
        <v>1</v>
      </c>
      <c r="I30" s="74">
        <v>1.3888888888888889E-3</v>
      </c>
      <c r="J30" s="73"/>
      <c r="K30" s="73">
        <v>6</v>
      </c>
      <c r="L30" s="76"/>
      <c r="M30" s="44"/>
      <c r="N30" s="23"/>
      <c r="O30" s="9"/>
    </row>
    <row r="31" spans="1:15" s="50" customFormat="1" x14ac:dyDescent="0.2">
      <c r="A31" s="93"/>
      <c r="B31" s="77">
        <f t="shared" si="1"/>
        <v>0.4972222222222219</v>
      </c>
      <c r="C31" s="70">
        <f t="shared" si="0"/>
        <v>2.0833333333333333E-3</v>
      </c>
      <c r="D31" s="82"/>
      <c r="E31" s="83" t="s">
        <v>107</v>
      </c>
      <c r="F31" s="84"/>
      <c r="G31" s="83">
        <v>1</v>
      </c>
      <c r="H31" s="83">
        <v>1</v>
      </c>
      <c r="I31" s="85">
        <v>2.0833333333333333E-3</v>
      </c>
      <c r="J31" s="83"/>
      <c r="K31" s="83"/>
      <c r="L31" s="86"/>
      <c r="M31" s="48"/>
      <c r="N31" s="49"/>
      <c r="O31" s="49"/>
    </row>
    <row r="32" spans="1:15" s="50" customFormat="1" x14ac:dyDescent="0.2">
      <c r="A32" s="93"/>
      <c r="B32" s="77">
        <f t="shared" si="1"/>
        <v>0.49930555555555522</v>
      </c>
      <c r="C32" s="70">
        <f t="shared" si="0"/>
        <v>6.2500000000000003E-3</v>
      </c>
      <c r="D32" s="82"/>
      <c r="E32" s="83" t="s">
        <v>115</v>
      </c>
      <c r="F32" s="84"/>
      <c r="G32" s="83">
        <v>1</v>
      </c>
      <c r="H32" s="83">
        <v>3</v>
      </c>
      <c r="I32" s="85">
        <v>2.0833333333333333E-3</v>
      </c>
      <c r="J32" s="87"/>
      <c r="K32" s="83"/>
      <c r="L32" s="86"/>
      <c r="M32" s="48"/>
      <c r="N32" s="49"/>
      <c r="O32" s="49"/>
    </row>
    <row r="33" spans="1:24" s="50" customFormat="1" x14ac:dyDescent="0.2">
      <c r="A33" s="93"/>
      <c r="B33" s="77">
        <f t="shared" si="1"/>
        <v>0.5055555555555552</v>
      </c>
      <c r="C33" s="70">
        <f t="shared" si="0"/>
        <v>6.9444444444444449E-3</v>
      </c>
      <c r="D33" s="78">
        <v>6</v>
      </c>
      <c r="E33" s="75" t="s">
        <v>76</v>
      </c>
      <c r="F33" s="79" t="s">
        <v>1</v>
      </c>
      <c r="G33" s="73">
        <v>5</v>
      </c>
      <c r="H33" s="73">
        <v>1</v>
      </c>
      <c r="I33" s="74">
        <v>1.3888888888888889E-3</v>
      </c>
      <c r="J33" s="75">
        <v>3</v>
      </c>
      <c r="K33" s="73"/>
      <c r="L33" s="76">
        <v>0.52083333333333337</v>
      </c>
      <c r="M33" s="44"/>
      <c r="N33" s="24" t="s">
        <v>89</v>
      </c>
      <c r="O33" s="49"/>
    </row>
    <row r="34" spans="1:24" x14ac:dyDescent="0.2">
      <c r="A34" s="93"/>
      <c r="B34" s="77">
        <f t="shared" si="1"/>
        <v>0.51249999999999962</v>
      </c>
      <c r="C34" s="70">
        <f t="shared" si="0"/>
        <v>4.1666666666666666E-3</v>
      </c>
      <c r="D34" s="78">
        <v>2</v>
      </c>
      <c r="E34" s="75" t="s">
        <v>81</v>
      </c>
      <c r="F34" s="79" t="s">
        <v>1</v>
      </c>
      <c r="G34" s="73">
        <v>3</v>
      </c>
      <c r="H34" s="73">
        <v>1</v>
      </c>
      <c r="I34" s="74">
        <v>1.3888888888888889E-3</v>
      </c>
      <c r="J34" s="80">
        <v>3</v>
      </c>
      <c r="K34" s="73"/>
      <c r="L34" s="76">
        <v>0.53125</v>
      </c>
      <c r="M34" s="44"/>
      <c r="N34" s="23" t="s">
        <v>93</v>
      </c>
      <c r="O34" s="9"/>
    </row>
    <row r="35" spans="1:24" x14ac:dyDescent="0.2">
      <c r="A35" s="93"/>
      <c r="B35" s="77">
        <f t="shared" si="1"/>
        <v>0.51666666666666627</v>
      </c>
      <c r="C35" s="70">
        <f t="shared" si="0"/>
        <v>5.5555555555555558E-3</v>
      </c>
      <c r="D35" s="78">
        <v>30</v>
      </c>
      <c r="E35" s="75" t="s">
        <v>101</v>
      </c>
      <c r="F35" s="79" t="s">
        <v>2</v>
      </c>
      <c r="G35" s="73">
        <v>4</v>
      </c>
      <c r="H35" s="73">
        <v>1</v>
      </c>
      <c r="I35" s="74">
        <v>1.3888888888888889E-3</v>
      </c>
      <c r="J35" s="75">
        <v>8</v>
      </c>
      <c r="K35" s="73"/>
      <c r="L35" s="76">
        <v>0.64583333333333337</v>
      </c>
      <c r="M35" s="47"/>
      <c r="N35" s="25" t="s">
        <v>87</v>
      </c>
    </row>
    <row r="36" spans="1:24" s="7" customFormat="1" x14ac:dyDescent="0.2">
      <c r="A36" s="93"/>
      <c r="B36" s="77">
        <f t="shared" si="1"/>
        <v>0.52222222222222181</v>
      </c>
      <c r="C36" s="70">
        <f t="shared" si="0"/>
        <v>5.5555555555555558E-3</v>
      </c>
      <c r="D36" s="71">
        <v>30</v>
      </c>
      <c r="E36" s="73" t="s">
        <v>101</v>
      </c>
      <c r="F36" s="72" t="s">
        <v>1</v>
      </c>
      <c r="G36" s="73">
        <v>4</v>
      </c>
      <c r="H36" s="73">
        <v>1</v>
      </c>
      <c r="I36" s="74">
        <v>1.3888888888888889E-3</v>
      </c>
      <c r="J36" s="73"/>
      <c r="K36" s="73">
        <v>5</v>
      </c>
      <c r="L36" s="76"/>
      <c r="M36" s="46"/>
      <c r="N36" s="9"/>
    </row>
    <row r="37" spans="1:24" ht="12.6" customHeight="1" x14ac:dyDescent="0.2">
      <c r="A37" s="93"/>
      <c r="B37" s="77">
        <f t="shared" si="1"/>
        <v>0.52777777777777735</v>
      </c>
      <c r="C37" s="70">
        <f t="shared" si="0"/>
        <v>5.5555555555555558E-3</v>
      </c>
      <c r="D37" s="78">
        <v>22</v>
      </c>
      <c r="E37" s="75" t="s">
        <v>67</v>
      </c>
      <c r="F37" s="79" t="s">
        <v>2</v>
      </c>
      <c r="G37" s="73">
        <v>4</v>
      </c>
      <c r="H37" s="73">
        <v>1</v>
      </c>
      <c r="I37" s="74">
        <v>1.3888888888888889E-3</v>
      </c>
      <c r="J37" s="75">
        <v>12</v>
      </c>
      <c r="K37" s="73"/>
      <c r="L37" s="76">
        <v>0.39583333333333331</v>
      </c>
      <c r="M37" s="44"/>
      <c r="N37" s="23" t="s">
        <v>88</v>
      </c>
    </row>
    <row r="38" spans="1:24" x14ac:dyDescent="0.2">
      <c r="A38" s="93"/>
      <c r="B38" s="77">
        <f t="shared" si="1"/>
        <v>0.53333333333333288</v>
      </c>
      <c r="C38" s="70">
        <f t="shared" si="0"/>
        <v>5.5555555555555558E-3</v>
      </c>
      <c r="D38" s="71">
        <v>22</v>
      </c>
      <c r="E38" s="73" t="s">
        <v>67</v>
      </c>
      <c r="F38" s="72" t="s">
        <v>1</v>
      </c>
      <c r="G38" s="73">
        <v>4</v>
      </c>
      <c r="H38" s="73">
        <v>1</v>
      </c>
      <c r="I38" s="74">
        <v>1.3888888888888889E-3</v>
      </c>
      <c r="J38" s="75"/>
      <c r="K38" s="73">
        <v>6</v>
      </c>
      <c r="L38" s="76"/>
      <c r="M38" s="44"/>
      <c r="X38" s="45"/>
    </row>
    <row r="39" spans="1:24" x14ac:dyDescent="0.2">
      <c r="A39" s="93"/>
      <c r="B39" s="77">
        <f t="shared" si="1"/>
        <v>0.53888888888888842</v>
      </c>
      <c r="C39" s="70">
        <f t="shared" si="0"/>
        <v>1.1111111111111112E-2</v>
      </c>
      <c r="D39" s="78">
        <v>25</v>
      </c>
      <c r="E39" s="75" t="s">
        <v>73</v>
      </c>
      <c r="F39" s="79" t="s">
        <v>5</v>
      </c>
      <c r="G39" s="73">
        <v>4</v>
      </c>
      <c r="H39" s="73">
        <v>2</v>
      </c>
      <c r="I39" s="74">
        <v>1.3888888888888889E-3</v>
      </c>
      <c r="J39" s="75">
        <v>24</v>
      </c>
      <c r="K39" s="73"/>
      <c r="L39" s="76">
        <v>0.4375</v>
      </c>
      <c r="M39" s="44"/>
      <c r="N39" s="23" t="s">
        <v>88</v>
      </c>
      <c r="O39" s="9"/>
    </row>
    <row r="40" spans="1:24" x14ac:dyDescent="0.2">
      <c r="A40" s="93"/>
      <c r="B40" s="77">
        <f t="shared" si="1"/>
        <v>0.54999999999999949</v>
      </c>
      <c r="C40" s="70">
        <f t="shared" si="0"/>
        <v>1.1111111111111112E-2</v>
      </c>
      <c r="D40" s="71">
        <v>25</v>
      </c>
      <c r="E40" s="73" t="s">
        <v>73</v>
      </c>
      <c r="F40" s="72" t="s">
        <v>2</v>
      </c>
      <c r="G40" s="73">
        <v>4</v>
      </c>
      <c r="H40" s="73">
        <v>2</v>
      </c>
      <c r="I40" s="74">
        <v>1.3888888888888889E-3</v>
      </c>
      <c r="J40" s="75"/>
      <c r="K40" s="73">
        <v>12</v>
      </c>
      <c r="L40" s="76"/>
      <c r="M40" s="44"/>
      <c r="O40" s="9"/>
    </row>
    <row r="41" spans="1:24" x14ac:dyDescent="0.2">
      <c r="A41" s="93"/>
      <c r="B41" s="77">
        <f t="shared" si="1"/>
        <v>0.56111111111111056</v>
      </c>
      <c r="C41" s="70">
        <f t="shared" si="0"/>
        <v>5.5555555555555558E-3</v>
      </c>
      <c r="D41" s="71">
        <v>25</v>
      </c>
      <c r="E41" s="73" t="s">
        <v>73</v>
      </c>
      <c r="F41" s="72" t="s">
        <v>1</v>
      </c>
      <c r="G41" s="73">
        <v>4</v>
      </c>
      <c r="H41" s="73">
        <v>1</v>
      </c>
      <c r="I41" s="74">
        <v>1.3888888888888889E-3</v>
      </c>
      <c r="J41" s="75"/>
      <c r="K41" s="73">
        <v>6</v>
      </c>
      <c r="L41" s="76"/>
      <c r="M41" s="44"/>
      <c r="O41" s="9"/>
    </row>
    <row r="42" spans="1:24" x14ac:dyDescent="0.2">
      <c r="A42" s="93"/>
      <c r="B42" s="77">
        <f t="shared" si="1"/>
        <v>0.5666666666666661</v>
      </c>
      <c r="C42" s="70">
        <f t="shared" si="0"/>
        <v>8.3333333333333332E-3</v>
      </c>
      <c r="D42" s="78">
        <v>24</v>
      </c>
      <c r="E42" s="75" t="s">
        <v>80</v>
      </c>
      <c r="F42" s="79" t="s">
        <v>5</v>
      </c>
      <c r="G42" s="73">
        <v>3</v>
      </c>
      <c r="H42" s="73">
        <v>2</v>
      </c>
      <c r="I42" s="74">
        <v>1.3888888888888889E-3</v>
      </c>
      <c r="J42" s="75">
        <v>24</v>
      </c>
      <c r="K42" s="73"/>
      <c r="L42" s="76">
        <v>0.53125</v>
      </c>
      <c r="M42" s="44"/>
      <c r="N42" s="24" t="s">
        <v>93</v>
      </c>
      <c r="O42" s="9"/>
    </row>
    <row r="43" spans="1:24" x14ac:dyDescent="0.2">
      <c r="A43" s="93"/>
      <c r="B43" s="77">
        <f t="shared" si="1"/>
        <v>0.5749999999999994</v>
      </c>
      <c r="C43" s="70">
        <f t="shared" si="0"/>
        <v>6.9444444444444449E-3</v>
      </c>
      <c r="D43" s="78">
        <v>10</v>
      </c>
      <c r="E43" s="75" t="s">
        <v>20</v>
      </c>
      <c r="F43" s="79" t="s">
        <v>1</v>
      </c>
      <c r="G43" s="73">
        <v>5</v>
      </c>
      <c r="H43" s="73">
        <v>1</v>
      </c>
      <c r="I43" s="74">
        <v>1.3888888888888889E-3</v>
      </c>
      <c r="J43" s="73">
        <v>2</v>
      </c>
      <c r="K43" s="73"/>
      <c r="L43" s="76">
        <v>0.54166666666666663</v>
      </c>
      <c r="M43" s="44"/>
      <c r="N43" s="24" t="s">
        <v>89</v>
      </c>
      <c r="O43" s="9"/>
    </row>
    <row r="44" spans="1:24" x14ac:dyDescent="0.2">
      <c r="A44" s="93"/>
      <c r="B44" s="77">
        <f t="shared" si="1"/>
        <v>0.58194444444444382</v>
      </c>
      <c r="C44" s="70">
        <f t="shared" si="0"/>
        <v>4.1666666666666666E-3</v>
      </c>
      <c r="D44" s="71">
        <v>24</v>
      </c>
      <c r="E44" s="73" t="s">
        <v>80</v>
      </c>
      <c r="F44" s="72" t="s">
        <v>2</v>
      </c>
      <c r="G44" s="73">
        <v>3</v>
      </c>
      <c r="H44" s="73">
        <v>1</v>
      </c>
      <c r="I44" s="74">
        <v>1.3888888888888889E-3</v>
      </c>
      <c r="J44" s="73"/>
      <c r="K44" s="73">
        <v>12</v>
      </c>
      <c r="L44" s="76"/>
      <c r="M44" s="44"/>
      <c r="N44" s="24"/>
      <c r="O44" s="9"/>
    </row>
    <row r="45" spans="1:24" ht="12.75" customHeight="1" x14ac:dyDescent="0.2">
      <c r="A45" s="93"/>
      <c r="B45" s="77">
        <f t="shared" si="1"/>
        <v>0.58611111111111047</v>
      </c>
      <c r="C45" s="70">
        <f t="shared" si="0"/>
        <v>5.5555555555555558E-3</v>
      </c>
      <c r="D45" s="78">
        <v>8</v>
      </c>
      <c r="E45" s="75" t="s">
        <v>19</v>
      </c>
      <c r="F45" s="79" t="s">
        <v>1</v>
      </c>
      <c r="G45" s="73">
        <v>4</v>
      </c>
      <c r="H45" s="73">
        <v>1</v>
      </c>
      <c r="I45" s="74">
        <v>1.3888888888888889E-3</v>
      </c>
      <c r="J45" s="75">
        <v>4</v>
      </c>
      <c r="K45" s="73"/>
      <c r="L45" s="76">
        <v>0.55208333333333337</v>
      </c>
      <c r="M45" s="44"/>
      <c r="N45" s="23" t="s">
        <v>92</v>
      </c>
    </row>
    <row r="46" spans="1:24" x14ac:dyDescent="0.2">
      <c r="A46" s="93"/>
      <c r="B46" s="77">
        <f t="shared" si="1"/>
        <v>0.59166666666666601</v>
      </c>
      <c r="C46" s="70">
        <f t="shared" si="0"/>
        <v>4.1666666666666666E-3</v>
      </c>
      <c r="D46" s="71">
        <v>24</v>
      </c>
      <c r="E46" s="73" t="s">
        <v>80</v>
      </c>
      <c r="F46" s="72" t="s">
        <v>1</v>
      </c>
      <c r="G46" s="73">
        <v>3</v>
      </c>
      <c r="H46" s="73">
        <v>1</v>
      </c>
      <c r="I46" s="74">
        <v>1.3888888888888889E-3</v>
      </c>
      <c r="J46" s="75"/>
      <c r="K46" s="73">
        <v>6</v>
      </c>
      <c r="L46" s="76"/>
      <c r="M46" s="45"/>
      <c r="N46" s="23"/>
      <c r="O46" s="9"/>
    </row>
    <row r="47" spans="1:24" ht="12.75" customHeight="1" x14ac:dyDescent="0.2">
      <c r="A47" s="93"/>
      <c r="B47" s="77">
        <f t="shared" si="1"/>
        <v>0.59583333333333266</v>
      </c>
      <c r="C47" s="70">
        <f t="shared" si="0"/>
        <v>6.9444444444444449E-3</v>
      </c>
      <c r="D47" s="78">
        <v>27</v>
      </c>
      <c r="E47" s="75" t="s">
        <v>70</v>
      </c>
      <c r="F47" s="79" t="s">
        <v>1</v>
      </c>
      <c r="G47" s="73">
        <v>5</v>
      </c>
      <c r="H47" s="73">
        <v>1</v>
      </c>
      <c r="I47" s="74">
        <v>1.3888888888888889E-3</v>
      </c>
      <c r="J47" s="75">
        <v>5</v>
      </c>
      <c r="K47" s="73"/>
      <c r="L47" s="76">
        <v>0.5625</v>
      </c>
      <c r="M47" s="44"/>
      <c r="N47" s="23" t="s">
        <v>89</v>
      </c>
    </row>
    <row r="48" spans="1:24" s="50" customFormat="1" x14ac:dyDescent="0.2">
      <c r="A48" s="93"/>
      <c r="B48" s="77">
        <f t="shared" si="1"/>
        <v>0.60277777777777708</v>
      </c>
      <c r="C48" s="70">
        <f t="shared" si="0"/>
        <v>3.472222222222222E-3</v>
      </c>
      <c r="D48" s="82"/>
      <c r="E48" s="83" t="s">
        <v>105</v>
      </c>
      <c r="F48" s="84"/>
      <c r="G48" s="83">
        <v>1</v>
      </c>
      <c r="H48" s="83">
        <v>1</v>
      </c>
      <c r="I48" s="85">
        <v>3.472222222222222E-3</v>
      </c>
      <c r="J48" s="83"/>
      <c r="K48" s="83"/>
      <c r="L48" s="86"/>
      <c r="M48" s="48"/>
      <c r="N48" s="49"/>
      <c r="O48" s="49"/>
    </row>
    <row r="49" spans="1:15" s="50" customFormat="1" x14ac:dyDescent="0.2">
      <c r="A49" s="93"/>
      <c r="B49" s="77">
        <f t="shared" si="1"/>
        <v>0.60624999999999929</v>
      </c>
      <c r="C49" s="70">
        <f t="shared" si="0"/>
        <v>1.0416666666666666E-2</v>
      </c>
      <c r="D49" s="82"/>
      <c r="E49" s="83" t="s">
        <v>114</v>
      </c>
      <c r="F49" s="84"/>
      <c r="G49" s="83">
        <v>1</v>
      </c>
      <c r="H49" s="83">
        <v>5</v>
      </c>
      <c r="I49" s="85">
        <v>2.0833333333333333E-3</v>
      </c>
      <c r="J49" s="87"/>
      <c r="K49" s="83"/>
      <c r="L49" s="86"/>
      <c r="M49" s="48"/>
      <c r="N49" s="49"/>
      <c r="O49" s="49"/>
    </row>
    <row r="50" spans="1:15" x14ac:dyDescent="0.2">
      <c r="A50" s="93"/>
      <c r="B50" s="77">
        <f t="shared" si="1"/>
        <v>0.61666666666666592</v>
      </c>
      <c r="C50" s="70">
        <f t="shared" si="0"/>
        <v>6.9444444444444449E-3</v>
      </c>
      <c r="D50" s="78">
        <v>29</v>
      </c>
      <c r="E50" s="75" t="s">
        <v>95</v>
      </c>
      <c r="F50" s="79" t="s">
        <v>1</v>
      </c>
      <c r="G50" s="73">
        <v>5</v>
      </c>
      <c r="H50" s="73">
        <v>1</v>
      </c>
      <c r="I50" s="74">
        <v>1.3888888888888889E-3</v>
      </c>
      <c r="J50" s="75">
        <v>3</v>
      </c>
      <c r="K50" s="73"/>
      <c r="L50" s="76">
        <v>0.58333333333333337</v>
      </c>
      <c r="M50" s="44"/>
      <c r="N50" s="9" t="s">
        <v>90</v>
      </c>
      <c r="O50" s="9"/>
    </row>
    <row r="51" spans="1:15" x14ac:dyDescent="0.2">
      <c r="A51" s="93"/>
      <c r="B51" s="77">
        <f t="shared" si="1"/>
        <v>0.62361111111111034</v>
      </c>
      <c r="C51" s="70">
        <f t="shared" si="0"/>
        <v>6.9444444444444449E-3</v>
      </c>
      <c r="D51" s="78">
        <v>12</v>
      </c>
      <c r="E51" s="75" t="s">
        <v>96</v>
      </c>
      <c r="F51" s="79" t="s">
        <v>1</v>
      </c>
      <c r="G51" s="73">
        <v>5</v>
      </c>
      <c r="H51" s="73">
        <v>1</v>
      </c>
      <c r="I51" s="74">
        <v>1.3888888888888889E-3</v>
      </c>
      <c r="J51" s="75">
        <v>3</v>
      </c>
      <c r="K51" s="73"/>
      <c r="L51" s="76">
        <v>0.59375</v>
      </c>
      <c r="M51" s="44"/>
      <c r="N51" s="24" t="s">
        <v>89</v>
      </c>
      <c r="O51" s="9"/>
    </row>
    <row r="52" spans="1:15" x14ac:dyDescent="0.2">
      <c r="A52" s="93"/>
      <c r="B52" s="77">
        <f t="shared" si="1"/>
        <v>0.63055555555555476</v>
      </c>
      <c r="C52" s="70">
        <f t="shared" si="0"/>
        <v>6.9444444444444449E-3</v>
      </c>
      <c r="D52" s="78">
        <v>31</v>
      </c>
      <c r="E52" s="75" t="s">
        <v>97</v>
      </c>
      <c r="F52" s="79" t="s">
        <v>1</v>
      </c>
      <c r="G52" s="73">
        <v>5</v>
      </c>
      <c r="H52" s="73">
        <v>1</v>
      </c>
      <c r="I52" s="74">
        <v>1.3888888888888889E-3</v>
      </c>
      <c r="J52" s="75">
        <v>2</v>
      </c>
      <c r="K52" s="73"/>
      <c r="L52" s="76">
        <v>0.60416666666666663</v>
      </c>
      <c r="M52" s="44"/>
      <c r="N52" s="24" t="s">
        <v>89</v>
      </c>
      <c r="O52" s="9"/>
    </row>
    <row r="53" spans="1:15" x14ac:dyDescent="0.2">
      <c r="A53" s="93"/>
      <c r="B53" s="77">
        <f t="shared" si="1"/>
        <v>0.63749999999999918</v>
      </c>
      <c r="C53" s="70">
        <f t="shared" si="0"/>
        <v>6.9444444444444449E-3</v>
      </c>
      <c r="D53" s="78">
        <v>14</v>
      </c>
      <c r="E53" s="75" t="s">
        <v>36</v>
      </c>
      <c r="F53" s="79" t="s">
        <v>1</v>
      </c>
      <c r="G53" s="73">
        <v>5</v>
      </c>
      <c r="H53" s="73">
        <v>1</v>
      </c>
      <c r="I53" s="74">
        <v>1.3888888888888889E-3</v>
      </c>
      <c r="J53" s="73">
        <v>3</v>
      </c>
      <c r="K53" s="73"/>
      <c r="L53" s="76">
        <v>0.60416666666666663</v>
      </c>
      <c r="M53" s="44"/>
      <c r="N53" s="24" t="s">
        <v>89</v>
      </c>
      <c r="O53" s="9"/>
    </row>
    <row r="54" spans="1:15" s="51" customFormat="1" x14ac:dyDescent="0.2">
      <c r="A54" s="93"/>
      <c r="B54" s="77">
        <f t="shared" si="1"/>
        <v>0.6444444444444436</v>
      </c>
      <c r="C54" s="70">
        <f t="shared" si="0"/>
        <v>3.472222222222222E-3</v>
      </c>
      <c r="D54" s="82"/>
      <c r="E54" s="83" t="s">
        <v>106</v>
      </c>
      <c r="F54" s="84"/>
      <c r="G54" s="83">
        <v>1</v>
      </c>
      <c r="H54" s="83">
        <v>1</v>
      </c>
      <c r="I54" s="85">
        <v>3.472222222222222E-3</v>
      </c>
      <c r="J54" s="83"/>
      <c r="K54" s="83"/>
      <c r="L54" s="86"/>
      <c r="M54" s="49"/>
      <c r="N54" s="49"/>
    </row>
    <row r="55" spans="1:15" s="51" customFormat="1" x14ac:dyDescent="0.2">
      <c r="A55" s="93"/>
      <c r="B55" s="77">
        <f t="shared" si="1"/>
        <v>0.64791666666666581</v>
      </c>
      <c r="C55" s="70">
        <f t="shared" si="0"/>
        <v>1.2500000000000001E-2</v>
      </c>
      <c r="D55" s="82"/>
      <c r="E55" s="83" t="s">
        <v>113</v>
      </c>
      <c r="F55" s="84"/>
      <c r="G55" s="83">
        <v>1</v>
      </c>
      <c r="H55" s="83">
        <v>6</v>
      </c>
      <c r="I55" s="85">
        <v>2.0833333333333333E-3</v>
      </c>
      <c r="J55" s="83"/>
      <c r="K55" s="83"/>
      <c r="L55" s="86"/>
      <c r="M55" s="49"/>
      <c r="N55" s="49"/>
    </row>
    <row r="56" spans="1:15" x14ac:dyDescent="0.2">
      <c r="A56" s="93"/>
      <c r="B56" s="77">
        <f t="shared" si="1"/>
        <v>0.66041666666666576</v>
      </c>
      <c r="C56" s="70">
        <f t="shared" si="0"/>
        <v>6.9444444444444449E-3</v>
      </c>
      <c r="D56" s="78">
        <v>28</v>
      </c>
      <c r="E56" s="75" t="s">
        <v>98</v>
      </c>
      <c r="F56" s="79" t="s">
        <v>2</v>
      </c>
      <c r="G56" s="73">
        <v>5</v>
      </c>
      <c r="H56" s="73">
        <v>1</v>
      </c>
      <c r="I56" s="74">
        <v>1.3888888888888889E-3</v>
      </c>
      <c r="J56" s="75">
        <v>9</v>
      </c>
      <c r="K56" s="73"/>
      <c r="L56" s="76">
        <v>0.625</v>
      </c>
      <c r="M56" s="44"/>
      <c r="N56" s="24" t="s">
        <v>90</v>
      </c>
      <c r="O56" s="9"/>
    </row>
    <row r="57" spans="1:15" x14ac:dyDescent="0.2">
      <c r="A57" s="93"/>
      <c r="B57" s="77">
        <f t="shared" si="1"/>
        <v>0.66736111111111018</v>
      </c>
      <c r="C57" s="70">
        <f t="shared" si="0"/>
        <v>4.1666666666666666E-3</v>
      </c>
      <c r="D57" s="78">
        <v>15</v>
      </c>
      <c r="E57" s="88" t="s">
        <v>99</v>
      </c>
      <c r="F57" s="79" t="s">
        <v>1</v>
      </c>
      <c r="G57" s="73">
        <v>3</v>
      </c>
      <c r="H57" s="73">
        <v>1</v>
      </c>
      <c r="I57" s="74">
        <v>1.3888888888888889E-3</v>
      </c>
      <c r="J57" s="75">
        <v>3</v>
      </c>
      <c r="K57" s="73"/>
      <c r="L57" s="76">
        <v>0.63541666666666663</v>
      </c>
      <c r="M57" s="9"/>
      <c r="N57" s="23" t="s">
        <v>93</v>
      </c>
    </row>
    <row r="58" spans="1:15" s="7" customFormat="1" x14ac:dyDescent="0.2">
      <c r="A58" s="93"/>
      <c r="B58" s="77">
        <f t="shared" si="1"/>
        <v>0.67152777777777684</v>
      </c>
      <c r="C58" s="70">
        <f t="shared" si="0"/>
        <v>6.9444444444444449E-3</v>
      </c>
      <c r="D58" s="71">
        <v>28</v>
      </c>
      <c r="E58" s="73" t="s">
        <v>98</v>
      </c>
      <c r="F58" s="72" t="s">
        <v>1</v>
      </c>
      <c r="G58" s="73">
        <v>5</v>
      </c>
      <c r="H58" s="73">
        <v>1</v>
      </c>
      <c r="I58" s="74">
        <v>1.3888888888888889E-3</v>
      </c>
      <c r="J58" s="75"/>
      <c r="K58" s="73">
        <v>6</v>
      </c>
      <c r="L58" s="76"/>
      <c r="M58" s="9"/>
      <c r="N58" s="23"/>
    </row>
    <row r="59" spans="1:15" s="7" customFormat="1" x14ac:dyDescent="0.2">
      <c r="A59" s="93"/>
      <c r="B59" s="77">
        <f t="shared" si="1"/>
        <v>0.67847222222222126</v>
      </c>
      <c r="C59" s="70">
        <f t="shared" si="0"/>
        <v>5.5555555555555558E-3</v>
      </c>
      <c r="D59" s="78">
        <v>17</v>
      </c>
      <c r="E59" s="75" t="s">
        <v>100</v>
      </c>
      <c r="F59" s="79" t="s">
        <v>1</v>
      </c>
      <c r="G59" s="73">
        <v>4</v>
      </c>
      <c r="H59" s="73">
        <v>1</v>
      </c>
      <c r="I59" s="74">
        <v>1.3888888888888889E-3</v>
      </c>
      <c r="J59" s="75">
        <v>2</v>
      </c>
      <c r="K59" s="73"/>
      <c r="L59" s="76">
        <v>0.64583333333333337</v>
      </c>
      <c r="M59" s="46"/>
      <c r="N59" s="9" t="s">
        <v>92</v>
      </c>
    </row>
    <row r="60" spans="1:15" s="7" customFormat="1" x14ac:dyDescent="0.2">
      <c r="A60" s="93"/>
      <c r="B60" s="77">
        <f t="shared" si="1"/>
        <v>0.68402777777777679</v>
      </c>
      <c r="C60" s="70">
        <f t="shared" si="0"/>
        <v>4.1666666666666666E-3</v>
      </c>
      <c r="D60" s="78">
        <v>16</v>
      </c>
      <c r="E60" s="75" t="s">
        <v>37</v>
      </c>
      <c r="F60" s="79" t="s">
        <v>2</v>
      </c>
      <c r="G60" s="73">
        <v>3</v>
      </c>
      <c r="H60" s="73">
        <v>1</v>
      </c>
      <c r="I60" s="74">
        <v>1.3888888888888889E-3</v>
      </c>
      <c r="J60" s="75">
        <v>6</v>
      </c>
      <c r="K60" s="73"/>
      <c r="L60" s="76">
        <v>0.65625</v>
      </c>
      <c r="M60" s="47"/>
      <c r="N60" s="25" t="s">
        <v>104</v>
      </c>
    </row>
    <row r="61" spans="1:15" x14ac:dyDescent="0.2">
      <c r="A61" s="93"/>
      <c r="B61" s="77">
        <f t="shared" si="1"/>
        <v>0.68819444444444344</v>
      </c>
      <c r="C61" s="70">
        <f t="shared" si="0"/>
        <v>4.1666666666666666E-3</v>
      </c>
      <c r="D61" s="71">
        <v>16</v>
      </c>
      <c r="E61" s="73" t="s">
        <v>37</v>
      </c>
      <c r="F61" s="72" t="s">
        <v>1</v>
      </c>
      <c r="G61" s="73">
        <v>3</v>
      </c>
      <c r="H61" s="73">
        <v>1</v>
      </c>
      <c r="I61" s="74">
        <v>1.3888888888888889E-3</v>
      </c>
      <c r="J61" s="73"/>
      <c r="K61" s="73">
        <v>4</v>
      </c>
      <c r="L61" s="76"/>
      <c r="M61" s="47"/>
      <c r="N61" s="25"/>
    </row>
    <row r="62" spans="1:15" s="50" customFormat="1" x14ac:dyDescent="0.2">
      <c r="A62" s="93"/>
      <c r="B62" s="77">
        <f t="shared" si="1"/>
        <v>0.69236111111111009</v>
      </c>
      <c r="C62" s="70">
        <f t="shared" si="0"/>
        <v>6.2500000000000003E-3</v>
      </c>
      <c r="D62" s="82"/>
      <c r="E62" s="83" t="s">
        <v>112</v>
      </c>
      <c r="F62" s="84"/>
      <c r="G62" s="83">
        <v>1</v>
      </c>
      <c r="H62" s="83">
        <v>3</v>
      </c>
      <c r="I62" s="85">
        <v>2.0833333333333333E-3</v>
      </c>
      <c r="J62" s="83"/>
      <c r="K62" s="83"/>
      <c r="L62" s="86"/>
      <c r="M62" s="52"/>
      <c r="N62" s="53"/>
    </row>
    <row r="63" spans="1:15" x14ac:dyDescent="0.2">
      <c r="A63" s="93"/>
      <c r="B63" s="77">
        <f t="shared" si="1"/>
        <v>0.69861111111111007</v>
      </c>
      <c r="C63" s="70">
        <f t="shared" si="0"/>
        <v>5.5555555555555558E-3</v>
      </c>
      <c r="D63" s="78">
        <v>26</v>
      </c>
      <c r="E63" s="75" t="s">
        <v>103</v>
      </c>
      <c r="F63" s="79" t="s">
        <v>1</v>
      </c>
      <c r="G63" s="73">
        <v>4</v>
      </c>
      <c r="H63" s="73">
        <v>1</v>
      </c>
      <c r="I63" s="74">
        <v>1.3888888888888889E-3</v>
      </c>
      <c r="J63" s="75">
        <v>4</v>
      </c>
      <c r="K63" s="73"/>
      <c r="L63" s="76">
        <v>0.66666666666666663</v>
      </c>
      <c r="M63" s="44"/>
      <c r="N63" s="9" t="s">
        <v>88</v>
      </c>
    </row>
    <row r="64" spans="1:15" x14ac:dyDescent="0.2">
      <c r="A64" s="93"/>
      <c r="B64" s="77">
        <f t="shared" si="1"/>
        <v>0.70416666666666561</v>
      </c>
      <c r="C64" s="70">
        <f t="shared" si="0"/>
        <v>6.9444444444444449E-3</v>
      </c>
      <c r="D64" s="78">
        <v>32</v>
      </c>
      <c r="E64" s="75" t="s">
        <v>102</v>
      </c>
      <c r="F64" s="79" t="s">
        <v>1</v>
      </c>
      <c r="G64" s="73">
        <v>5</v>
      </c>
      <c r="H64" s="73">
        <v>1</v>
      </c>
      <c r="I64" s="74">
        <v>1.3888888888888889E-3</v>
      </c>
      <c r="J64" s="75">
        <v>5</v>
      </c>
      <c r="K64" s="73"/>
      <c r="L64" s="76">
        <v>0.67708333333333337</v>
      </c>
      <c r="M64" s="47"/>
      <c r="N64" s="9" t="s">
        <v>90</v>
      </c>
    </row>
    <row r="65" spans="1:14" s="7" customFormat="1" x14ac:dyDescent="0.2">
      <c r="A65" s="93"/>
      <c r="B65" s="77">
        <f t="shared" si="1"/>
        <v>0.71111111111111003</v>
      </c>
      <c r="C65" s="70">
        <f t="shared" si="0"/>
        <v>5.5555555555555558E-3</v>
      </c>
      <c r="D65" s="78">
        <v>33</v>
      </c>
      <c r="E65" s="75" t="s">
        <v>34</v>
      </c>
      <c r="F65" s="79" t="s">
        <v>1</v>
      </c>
      <c r="G65" s="73">
        <v>4</v>
      </c>
      <c r="H65" s="73">
        <v>1</v>
      </c>
      <c r="I65" s="74">
        <v>1.3888888888888889E-3</v>
      </c>
      <c r="J65" s="75">
        <v>4</v>
      </c>
      <c r="K65" s="73"/>
      <c r="L65" s="76">
        <v>0.6875</v>
      </c>
      <c r="M65" s="9"/>
      <c r="N65" s="23" t="s">
        <v>87</v>
      </c>
    </row>
    <row r="66" spans="1:14" x14ac:dyDescent="0.2">
      <c r="A66" s="93"/>
      <c r="B66" s="77">
        <f t="shared" si="1"/>
        <v>0.71666666666666556</v>
      </c>
      <c r="C66" s="70">
        <f t="shared" si="0"/>
        <v>8.3333333333333332E-3</v>
      </c>
      <c r="D66" s="78"/>
      <c r="E66" s="83" t="s">
        <v>120</v>
      </c>
      <c r="F66" s="89"/>
      <c r="G66" s="90">
        <v>1</v>
      </c>
      <c r="H66" s="90">
        <v>4</v>
      </c>
      <c r="I66" s="91">
        <v>2.0833333333333333E-3</v>
      </c>
      <c r="J66" s="75"/>
      <c r="K66" s="73"/>
      <c r="L66" s="76"/>
      <c r="M66" s="44"/>
    </row>
    <row r="67" spans="1:14" x14ac:dyDescent="0.2">
      <c r="A67" s="39"/>
      <c r="B67" s="61"/>
      <c r="C67" s="62"/>
      <c r="D67" s="63"/>
      <c r="E67" s="64"/>
      <c r="F67" s="65"/>
      <c r="G67" s="66"/>
      <c r="H67" s="66"/>
      <c r="I67" s="67"/>
      <c r="J67" s="64"/>
      <c r="K67" s="66"/>
      <c r="L67" s="68"/>
      <c r="M67" s="44"/>
    </row>
    <row r="68" spans="1:14" x14ac:dyDescent="0.2">
      <c r="A68" s="39"/>
      <c r="B68" s="35"/>
      <c r="C68" s="29"/>
      <c r="D68" s="30"/>
      <c r="E68" s="21"/>
      <c r="F68" s="31"/>
      <c r="G68" s="21"/>
      <c r="H68" s="21"/>
      <c r="I68" s="33"/>
      <c r="J68" s="20"/>
      <c r="K68" s="21"/>
      <c r="L68" s="34"/>
      <c r="M68" s="46"/>
    </row>
    <row r="69" spans="1:14" x14ac:dyDescent="0.2">
      <c r="A69" s="39"/>
      <c r="B69" s="35"/>
      <c r="C69" s="29"/>
      <c r="D69" s="30"/>
      <c r="E69" s="21"/>
      <c r="F69" s="31"/>
      <c r="G69" s="21"/>
      <c r="H69" s="21"/>
      <c r="I69" s="33"/>
      <c r="J69" s="20"/>
      <c r="K69" s="21"/>
      <c r="L69" s="34"/>
      <c r="M69" s="46"/>
    </row>
    <row r="70" spans="1:14" x14ac:dyDescent="0.2">
      <c r="A70" s="39"/>
      <c r="B70" s="35"/>
      <c r="C70" s="29"/>
      <c r="D70" s="30"/>
      <c r="E70" s="21"/>
      <c r="F70" s="31"/>
      <c r="G70" s="21"/>
      <c r="H70" s="21"/>
      <c r="I70" s="33"/>
      <c r="J70" s="20"/>
      <c r="K70" s="21"/>
      <c r="L70" s="34"/>
      <c r="M70" s="46"/>
    </row>
    <row r="71" spans="1:14" x14ac:dyDescent="0.2">
      <c r="A71" s="39"/>
      <c r="B71" s="35"/>
      <c r="C71" s="29"/>
      <c r="D71" s="30"/>
      <c r="E71" s="21"/>
      <c r="F71" s="31"/>
      <c r="G71" s="21"/>
      <c r="H71" s="21"/>
      <c r="I71" s="33"/>
      <c r="J71" s="20"/>
      <c r="K71" s="21"/>
      <c r="L71" s="34"/>
      <c r="M71" s="46"/>
    </row>
    <row r="72" spans="1:14" x14ac:dyDescent="0.2">
      <c r="A72" s="39"/>
      <c r="B72" s="35"/>
      <c r="C72" s="29"/>
      <c r="D72" s="37"/>
      <c r="E72" s="20"/>
      <c r="F72" s="31"/>
      <c r="G72" s="21"/>
      <c r="H72" s="21"/>
      <c r="I72" s="33"/>
      <c r="J72" s="20"/>
      <c r="K72" s="21"/>
      <c r="L72" s="34"/>
      <c r="M72" s="46"/>
    </row>
    <row r="73" spans="1:14" x14ac:dyDescent="0.2">
      <c r="A73" s="39"/>
      <c r="B73" s="35"/>
      <c r="C73" s="29"/>
      <c r="D73" s="37"/>
      <c r="E73" s="20"/>
      <c r="F73" s="31"/>
      <c r="G73" s="21"/>
      <c r="H73" s="21"/>
      <c r="I73" s="33"/>
      <c r="J73" s="20"/>
      <c r="K73" s="21"/>
      <c r="L73" s="34"/>
      <c r="M73" s="46"/>
    </row>
    <row r="74" spans="1:14" x14ac:dyDescent="0.2">
      <c r="A74" s="39"/>
      <c r="B74" s="35"/>
      <c r="C74" s="29"/>
      <c r="D74" s="30"/>
      <c r="E74" s="21"/>
      <c r="F74" s="31"/>
      <c r="G74" s="21"/>
      <c r="H74" s="21"/>
      <c r="I74" s="33"/>
      <c r="J74" s="21"/>
      <c r="K74" s="21"/>
      <c r="L74" s="34"/>
      <c r="M74" s="46"/>
    </row>
    <row r="75" spans="1:14" x14ac:dyDescent="0.2">
      <c r="A75" s="39"/>
      <c r="B75" s="35"/>
      <c r="C75" s="29"/>
      <c r="D75" s="30"/>
      <c r="E75" s="20"/>
      <c r="F75" s="31"/>
      <c r="G75" s="21"/>
      <c r="H75" s="21"/>
      <c r="I75" s="33"/>
      <c r="J75" s="21"/>
      <c r="K75" s="21"/>
      <c r="L75" s="34"/>
      <c r="M75" s="46"/>
    </row>
    <row r="76" spans="1:14" ht="24.6" customHeight="1" x14ac:dyDescent="0.2">
      <c r="A76" s="39"/>
      <c r="B76" s="35"/>
      <c r="C76" s="29"/>
      <c r="D76" s="30"/>
      <c r="E76" s="40"/>
      <c r="F76" s="31"/>
      <c r="G76" s="21"/>
      <c r="H76" s="21"/>
      <c r="I76" s="33"/>
      <c r="J76" s="20"/>
      <c r="K76" s="21"/>
      <c r="L76" s="34"/>
      <c r="M76" s="46"/>
    </row>
    <row r="77" spans="1:14" x14ac:dyDescent="0.2">
      <c r="A77" s="39"/>
      <c r="B77" s="35"/>
      <c r="C77" s="29"/>
      <c r="D77" s="37"/>
      <c r="E77" s="20"/>
      <c r="F77" s="31"/>
      <c r="G77" s="21"/>
      <c r="H77" s="21"/>
      <c r="I77" s="33"/>
      <c r="J77" s="20"/>
      <c r="K77" s="21"/>
      <c r="L77" s="34"/>
      <c r="M77" s="46"/>
    </row>
    <row r="78" spans="1:14" x14ac:dyDescent="0.2">
      <c r="A78" s="39"/>
      <c r="B78" s="35"/>
      <c r="C78" s="29"/>
      <c r="D78" s="37"/>
      <c r="E78" s="20"/>
      <c r="F78" s="31"/>
      <c r="G78" s="21"/>
      <c r="H78" s="21"/>
      <c r="I78" s="33"/>
      <c r="J78" s="20"/>
      <c r="K78" s="21"/>
      <c r="L78" s="34"/>
      <c r="M78" s="46"/>
    </row>
    <row r="79" spans="1:14" x14ac:dyDescent="0.2">
      <c r="A79" s="39"/>
      <c r="B79" s="35"/>
      <c r="C79" s="29"/>
      <c r="D79" s="37"/>
      <c r="E79" s="20"/>
      <c r="F79" s="31"/>
      <c r="G79" s="21"/>
      <c r="H79" s="21"/>
      <c r="I79" s="33"/>
      <c r="J79" s="20"/>
      <c r="K79" s="21"/>
      <c r="L79" s="34"/>
      <c r="M79" s="46"/>
    </row>
    <row r="80" spans="1:14" x14ac:dyDescent="0.2">
      <c r="A80" s="39"/>
      <c r="B80" s="35"/>
      <c r="C80" s="29"/>
      <c r="D80" s="37"/>
      <c r="E80" s="20"/>
      <c r="F80" s="31"/>
      <c r="G80" s="21"/>
      <c r="H80" s="21"/>
      <c r="I80" s="33"/>
      <c r="J80" s="20"/>
      <c r="K80" s="21"/>
      <c r="L80" s="34"/>
      <c r="M80" s="46"/>
    </row>
    <row r="81" spans="1:13" x14ac:dyDescent="0.2">
      <c r="A81" s="39"/>
      <c r="B81" s="35"/>
      <c r="C81" s="29"/>
      <c r="D81" s="37"/>
      <c r="E81" s="20"/>
      <c r="F81" s="31"/>
      <c r="G81" s="21"/>
      <c r="H81" s="21"/>
      <c r="I81" s="33"/>
      <c r="J81" s="20"/>
      <c r="K81" s="21"/>
      <c r="L81" s="34"/>
      <c r="M81" s="46"/>
    </row>
    <row r="82" spans="1:13" ht="26.1" customHeight="1" x14ac:dyDescent="0.2">
      <c r="A82" s="39"/>
      <c r="B82" s="35"/>
      <c r="C82" s="29"/>
      <c r="D82" s="30"/>
      <c r="E82" s="40"/>
      <c r="F82" s="31"/>
      <c r="G82" s="21"/>
      <c r="H82" s="21"/>
      <c r="I82" s="33"/>
      <c r="J82" s="20"/>
      <c r="K82" s="21"/>
      <c r="L82" s="34"/>
      <c r="M82" s="46"/>
    </row>
    <row r="83" spans="1:13" x14ac:dyDescent="0.2">
      <c r="A83" s="39"/>
      <c r="B83" s="35"/>
      <c r="C83" s="29"/>
      <c r="D83" s="30"/>
      <c r="E83" s="20"/>
      <c r="F83" s="31"/>
      <c r="G83" s="21"/>
      <c r="H83" s="21"/>
      <c r="I83" s="33"/>
      <c r="J83" s="20"/>
      <c r="K83" s="21"/>
      <c r="L83" s="34"/>
      <c r="M83" s="46"/>
    </row>
  </sheetData>
  <phoneticPr fontId="0" type="noConversion"/>
  <printOptions horizontalCentered="1"/>
  <pageMargins left="0.25" right="0.25" top="0.75" bottom="0.75" header="0.3" footer="0.3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EE3F-0597-426A-8967-02A72E549F96}">
  <dimension ref="A1:L73"/>
  <sheetViews>
    <sheetView workbookViewId="0">
      <selection activeCell="I8" sqref="I8"/>
    </sheetView>
  </sheetViews>
  <sheetFormatPr defaultRowHeight="12.75" x14ac:dyDescent="0.2"/>
  <sheetData>
    <row r="1" spans="1:12" x14ac:dyDescent="0.2">
      <c r="A1" s="42"/>
      <c r="B1" s="28"/>
      <c r="C1" s="29"/>
      <c r="D1" s="30" t="s">
        <v>7</v>
      </c>
      <c r="E1" s="21"/>
      <c r="F1" s="31"/>
      <c r="G1" s="30" t="s">
        <v>8</v>
      </c>
      <c r="H1" s="30" t="s">
        <v>6</v>
      </c>
      <c r="I1" s="32" t="s">
        <v>0</v>
      </c>
      <c r="J1" s="20">
        <f>SUM(J3:J72)</f>
        <v>251</v>
      </c>
      <c r="K1" s="21"/>
      <c r="L1" s="30" t="s">
        <v>4</v>
      </c>
    </row>
    <row r="2" spans="1:12" ht="409.5" hidden="1" x14ac:dyDescent="0.2">
      <c r="A2" s="39" t="s">
        <v>56</v>
      </c>
      <c r="B2" s="28">
        <v>0.33333333333333331</v>
      </c>
      <c r="C2" s="29">
        <f t="shared" ref="C2:C69" si="0">G2*H2*I2</f>
        <v>3.472222222222222E-3</v>
      </c>
      <c r="D2" s="30"/>
      <c r="E2" s="38" t="s">
        <v>59</v>
      </c>
      <c r="F2" s="31"/>
      <c r="G2" s="21">
        <v>1</v>
      </c>
      <c r="H2" s="21">
        <v>1</v>
      </c>
      <c r="I2" s="33">
        <v>3.472222222222222E-3</v>
      </c>
      <c r="J2" s="20"/>
      <c r="K2" s="21"/>
      <c r="L2" s="34"/>
    </row>
    <row r="3" spans="1:12" x14ac:dyDescent="0.2">
      <c r="A3" s="39"/>
      <c r="B3" s="35">
        <f t="shared" ref="B3:B66" si="1">B2+C2</f>
        <v>0.33680555555555552</v>
      </c>
      <c r="C3" s="29">
        <f t="shared" si="0"/>
        <v>6.9444444444444449E-3</v>
      </c>
      <c r="D3" s="37">
        <v>8</v>
      </c>
      <c r="E3" s="20" t="s">
        <v>27</v>
      </c>
      <c r="F3" s="36" t="s">
        <v>2</v>
      </c>
      <c r="G3" s="21">
        <v>5</v>
      </c>
      <c r="H3" s="21">
        <v>1</v>
      </c>
      <c r="I3" s="33">
        <v>1.3888888888888889E-3</v>
      </c>
      <c r="J3" s="20">
        <v>6</v>
      </c>
      <c r="K3" s="21"/>
      <c r="L3" s="34">
        <v>0.33333333333333331</v>
      </c>
    </row>
    <row r="4" spans="1:12" x14ac:dyDescent="0.2">
      <c r="A4" s="39"/>
      <c r="B4" s="35">
        <f t="shared" si="1"/>
        <v>0.34374999999999994</v>
      </c>
      <c r="C4" s="29">
        <f t="shared" si="0"/>
        <v>6.9444444444444449E-3</v>
      </c>
      <c r="D4" s="37">
        <v>29</v>
      </c>
      <c r="E4" s="20" t="s">
        <v>35</v>
      </c>
      <c r="F4" s="36" t="s">
        <v>1</v>
      </c>
      <c r="G4" s="21">
        <v>5</v>
      </c>
      <c r="H4" s="21">
        <v>1</v>
      </c>
      <c r="I4" s="33">
        <v>1.3888888888888889E-3</v>
      </c>
      <c r="J4" s="20">
        <v>5</v>
      </c>
      <c r="K4" s="21"/>
      <c r="L4" s="34">
        <v>0.33333333333333331</v>
      </c>
    </row>
    <row r="5" spans="1:12" x14ac:dyDescent="0.2">
      <c r="A5" s="39"/>
      <c r="B5" s="35">
        <f t="shared" si="1"/>
        <v>0.35069444444444436</v>
      </c>
      <c r="C5" s="29">
        <f t="shared" si="0"/>
        <v>6.9444444444444449E-3</v>
      </c>
      <c r="D5" s="30">
        <v>8</v>
      </c>
      <c r="E5" s="21" t="s">
        <v>27</v>
      </c>
      <c r="F5" s="31" t="s">
        <v>1</v>
      </c>
      <c r="G5" s="21">
        <v>5</v>
      </c>
      <c r="H5" s="21">
        <v>1</v>
      </c>
      <c r="I5" s="33">
        <v>1.3888888888888889E-3</v>
      </c>
      <c r="J5" s="20"/>
      <c r="K5" s="21">
        <v>4</v>
      </c>
      <c r="L5" s="34"/>
    </row>
    <row r="6" spans="1:12" x14ac:dyDescent="0.2">
      <c r="A6" s="39"/>
      <c r="B6" s="35">
        <f t="shared" si="1"/>
        <v>0.35763888888888878</v>
      </c>
      <c r="C6" s="29">
        <f t="shared" si="0"/>
        <v>1.1111111111111112E-2</v>
      </c>
      <c r="D6" s="37">
        <v>7</v>
      </c>
      <c r="E6" s="20" t="s">
        <v>40</v>
      </c>
      <c r="F6" s="36" t="s">
        <v>5</v>
      </c>
      <c r="G6" s="21">
        <v>4</v>
      </c>
      <c r="H6" s="21">
        <v>2</v>
      </c>
      <c r="I6" s="33">
        <v>1.3888888888888889E-3</v>
      </c>
      <c r="J6" s="20">
        <v>16</v>
      </c>
      <c r="K6" s="21"/>
      <c r="L6" s="34">
        <v>0.33333333333333331</v>
      </c>
    </row>
    <row r="7" spans="1:12" x14ac:dyDescent="0.2">
      <c r="A7" s="39"/>
      <c r="B7" s="35">
        <f t="shared" si="1"/>
        <v>0.36874999999999991</v>
      </c>
      <c r="C7" s="29">
        <f t="shared" si="0"/>
        <v>6.9444444444444449E-3</v>
      </c>
      <c r="D7" s="37">
        <v>9</v>
      </c>
      <c r="E7" s="20" t="s">
        <v>23</v>
      </c>
      <c r="F7" s="36" t="s">
        <v>2</v>
      </c>
      <c r="G7" s="21">
        <v>5</v>
      </c>
      <c r="H7" s="21">
        <v>1</v>
      </c>
      <c r="I7" s="33">
        <v>1.3888888888888889E-3</v>
      </c>
      <c r="J7" s="20">
        <v>12</v>
      </c>
      <c r="K7" s="21"/>
      <c r="L7" s="34">
        <v>0.33333333333333331</v>
      </c>
    </row>
    <row r="8" spans="1:12" x14ac:dyDescent="0.2">
      <c r="A8" s="39"/>
      <c r="B8" s="35">
        <f t="shared" si="1"/>
        <v>0.37569444444444433</v>
      </c>
      <c r="C8" s="29">
        <f t="shared" si="0"/>
        <v>5.5555555555555558E-3</v>
      </c>
      <c r="D8" s="30">
        <v>7</v>
      </c>
      <c r="E8" s="21" t="s">
        <v>40</v>
      </c>
      <c r="F8" s="31" t="s">
        <v>2</v>
      </c>
      <c r="G8" s="21">
        <v>4</v>
      </c>
      <c r="H8" s="21">
        <v>1</v>
      </c>
      <c r="I8" s="33">
        <v>1.3888888888888889E-3</v>
      </c>
      <c r="J8" s="20"/>
      <c r="K8" s="21">
        <v>11</v>
      </c>
      <c r="L8" s="34"/>
    </row>
    <row r="9" spans="1:12" x14ac:dyDescent="0.2">
      <c r="A9" s="39"/>
      <c r="B9" s="35">
        <f t="shared" si="1"/>
        <v>0.38124999999999987</v>
      </c>
      <c r="C9" s="29">
        <f t="shared" si="0"/>
        <v>6.9444444444444449E-3</v>
      </c>
      <c r="D9" s="30">
        <v>9</v>
      </c>
      <c r="E9" s="21" t="s">
        <v>23</v>
      </c>
      <c r="F9" s="31" t="s">
        <v>1</v>
      </c>
      <c r="G9" s="21">
        <v>5</v>
      </c>
      <c r="H9" s="21">
        <v>1</v>
      </c>
      <c r="I9" s="33">
        <v>1.3888888888888889E-3</v>
      </c>
      <c r="J9" s="20"/>
      <c r="K9" s="21">
        <v>6</v>
      </c>
      <c r="L9" s="34"/>
    </row>
    <row r="10" spans="1:12" x14ac:dyDescent="0.2">
      <c r="A10" s="39"/>
      <c r="B10" s="35">
        <f t="shared" si="1"/>
        <v>0.38819444444444429</v>
      </c>
      <c r="C10" s="29">
        <f>G10*H10*I10</f>
        <v>5.5555555555555558E-3</v>
      </c>
      <c r="D10" s="30">
        <v>7</v>
      </c>
      <c r="E10" s="21" t="s">
        <v>40</v>
      </c>
      <c r="F10" s="31" t="s">
        <v>1</v>
      </c>
      <c r="G10" s="21">
        <v>4</v>
      </c>
      <c r="H10" s="21">
        <v>1</v>
      </c>
      <c r="I10" s="33">
        <v>1.3888888888888889E-3</v>
      </c>
      <c r="J10" s="20"/>
      <c r="K10" s="21">
        <v>6</v>
      </c>
      <c r="L10" s="34"/>
    </row>
    <row r="11" spans="1:12" ht="78.75" x14ac:dyDescent="0.2">
      <c r="A11" s="39"/>
      <c r="B11" s="35">
        <f t="shared" si="1"/>
        <v>0.39374999999999982</v>
      </c>
      <c r="C11" s="29">
        <f>G11*H11*I11</f>
        <v>8.3333333333333332E-3</v>
      </c>
      <c r="D11" s="30"/>
      <c r="E11" s="40" t="s">
        <v>45</v>
      </c>
      <c r="F11" s="36" t="s">
        <v>9</v>
      </c>
      <c r="G11" s="21">
        <v>4</v>
      </c>
      <c r="H11" s="21">
        <v>1</v>
      </c>
      <c r="I11" s="33">
        <v>2.0833333333333333E-3</v>
      </c>
      <c r="J11" s="20"/>
      <c r="K11" s="21"/>
      <c r="L11" s="34"/>
    </row>
    <row r="12" spans="1:12" x14ac:dyDescent="0.2">
      <c r="A12" s="39"/>
      <c r="B12" s="35">
        <f t="shared" si="1"/>
        <v>0.40208333333333318</v>
      </c>
      <c r="C12" s="29">
        <f>G12*H12*I12</f>
        <v>6.9444444444444449E-3</v>
      </c>
      <c r="D12" s="37">
        <v>4</v>
      </c>
      <c r="E12" s="20" t="s">
        <v>21</v>
      </c>
      <c r="F12" s="36" t="s">
        <v>1</v>
      </c>
      <c r="G12" s="21">
        <v>5</v>
      </c>
      <c r="H12" s="21">
        <v>1</v>
      </c>
      <c r="I12" s="33">
        <v>1.3888888888888889E-3</v>
      </c>
      <c r="J12" s="20">
        <v>3</v>
      </c>
      <c r="K12" s="21"/>
      <c r="L12" s="34">
        <v>0.39583333333333331</v>
      </c>
    </row>
    <row r="13" spans="1:12" x14ac:dyDescent="0.2">
      <c r="A13" s="39"/>
      <c r="B13" s="35">
        <f t="shared" si="1"/>
        <v>0.4090277777777776</v>
      </c>
      <c r="C13" s="29">
        <f t="shared" si="0"/>
        <v>4.1666666666666666E-3</v>
      </c>
      <c r="D13" s="37">
        <v>11</v>
      </c>
      <c r="E13" s="20" t="s">
        <v>17</v>
      </c>
      <c r="F13" s="36" t="s">
        <v>2</v>
      </c>
      <c r="G13" s="21">
        <v>3</v>
      </c>
      <c r="H13" s="21">
        <v>1</v>
      </c>
      <c r="I13" s="33">
        <v>1.3888888888888889E-3</v>
      </c>
      <c r="J13" s="20">
        <v>7</v>
      </c>
      <c r="K13" s="21"/>
      <c r="L13" s="34">
        <v>0.39583333333333331</v>
      </c>
    </row>
    <row r="14" spans="1:12" x14ac:dyDescent="0.2">
      <c r="A14" s="39"/>
      <c r="B14" s="35">
        <f t="shared" si="1"/>
        <v>0.41319444444444425</v>
      </c>
      <c r="C14" s="29">
        <f t="shared" si="0"/>
        <v>5.5555555555555558E-3</v>
      </c>
      <c r="D14" s="37">
        <v>3</v>
      </c>
      <c r="E14" s="20" t="s">
        <v>26</v>
      </c>
      <c r="F14" s="36" t="s">
        <v>1</v>
      </c>
      <c r="G14" s="21">
        <v>4</v>
      </c>
      <c r="H14" s="21">
        <v>1</v>
      </c>
      <c r="I14" s="33">
        <v>1.3888888888888889E-3</v>
      </c>
      <c r="J14" s="20">
        <v>2</v>
      </c>
      <c r="K14" s="21"/>
      <c r="L14" s="34">
        <v>0.39583333333333331</v>
      </c>
    </row>
    <row r="15" spans="1:12" x14ac:dyDescent="0.2">
      <c r="A15" s="39"/>
      <c r="B15" s="35">
        <f t="shared" si="1"/>
        <v>0.41874999999999979</v>
      </c>
      <c r="C15" s="29">
        <f>G15*H15*I15</f>
        <v>4.1666666666666666E-3</v>
      </c>
      <c r="D15" s="30">
        <v>11</v>
      </c>
      <c r="E15" s="21" t="s">
        <v>17</v>
      </c>
      <c r="F15" s="31" t="s">
        <v>1</v>
      </c>
      <c r="G15" s="21">
        <v>3</v>
      </c>
      <c r="H15" s="21">
        <v>1</v>
      </c>
      <c r="I15" s="33">
        <v>1.3888888888888889E-3</v>
      </c>
      <c r="J15" s="20"/>
      <c r="K15" s="21">
        <v>5</v>
      </c>
      <c r="L15" s="34"/>
    </row>
    <row r="16" spans="1:12" x14ac:dyDescent="0.2">
      <c r="A16" s="39"/>
      <c r="B16" s="35">
        <f t="shared" si="1"/>
        <v>0.42291666666666644</v>
      </c>
      <c r="C16" s="29">
        <f t="shared" ref="C16" si="2">G16*H16*I16</f>
        <v>8.3333333333333332E-3</v>
      </c>
      <c r="D16" s="37">
        <v>10</v>
      </c>
      <c r="E16" s="20" t="s">
        <v>28</v>
      </c>
      <c r="F16" s="36" t="s">
        <v>1</v>
      </c>
      <c r="G16" s="21">
        <v>6</v>
      </c>
      <c r="H16" s="21">
        <v>1</v>
      </c>
      <c r="I16" s="33">
        <v>1.3888888888888889E-3</v>
      </c>
      <c r="J16" s="20">
        <v>5</v>
      </c>
      <c r="K16" s="21"/>
      <c r="L16" s="34">
        <v>0.41666666666666669</v>
      </c>
    </row>
    <row r="17" spans="1:12" ht="56.25" x14ac:dyDescent="0.2">
      <c r="A17" s="39"/>
      <c r="B17" s="35">
        <f t="shared" si="1"/>
        <v>0.4312499999999998</v>
      </c>
      <c r="C17" s="29">
        <f t="shared" si="0"/>
        <v>1.0416666666666666E-2</v>
      </c>
      <c r="D17" s="30"/>
      <c r="E17" s="40" t="s">
        <v>55</v>
      </c>
      <c r="F17" s="36" t="s">
        <v>9</v>
      </c>
      <c r="G17" s="21">
        <v>5</v>
      </c>
      <c r="H17" s="21">
        <v>1</v>
      </c>
      <c r="I17" s="33">
        <v>2.0833333333333333E-3</v>
      </c>
      <c r="J17" s="20"/>
      <c r="K17" s="21"/>
      <c r="L17" s="34"/>
    </row>
    <row r="18" spans="1:12" x14ac:dyDescent="0.2">
      <c r="A18" s="39"/>
      <c r="B18" s="35">
        <f t="shared" si="1"/>
        <v>0.44166666666666649</v>
      </c>
      <c r="C18" s="29">
        <f t="shared" si="0"/>
        <v>4.1666666666666666E-3</v>
      </c>
      <c r="D18" s="37">
        <v>17</v>
      </c>
      <c r="E18" s="20" t="s">
        <v>18</v>
      </c>
      <c r="F18" s="36" t="s">
        <v>2</v>
      </c>
      <c r="G18" s="21">
        <v>3</v>
      </c>
      <c r="H18" s="21">
        <v>1</v>
      </c>
      <c r="I18" s="33">
        <v>1.3888888888888889E-3</v>
      </c>
      <c r="J18" s="20">
        <v>6</v>
      </c>
      <c r="K18" s="21"/>
      <c r="L18" s="34">
        <v>0.4375</v>
      </c>
    </row>
    <row r="19" spans="1:12" x14ac:dyDescent="0.2">
      <c r="A19" s="39"/>
      <c r="B19" s="35">
        <f t="shared" si="1"/>
        <v>0.44583333333333314</v>
      </c>
      <c r="C19" s="29">
        <f t="shared" si="0"/>
        <v>8.3333333333333332E-3</v>
      </c>
      <c r="D19" s="37">
        <v>5</v>
      </c>
      <c r="E19" s="20" t="s">
        <v>42</v>
      </c>
      <c r="F19" s="36" t="s">
        <v>5</v>
      </c>
      <c r="G19" s="21">
        <v>3</v>
      </c>
      <c r="H19" s="21">
        <v>2</v>
      </c>
      <c r="I19" s="33">
        <v>1.3888888888888889E-3</v>
      </c>
      <c r="J19" s="20">
        <v>22</v>
      </c>
      <c r="K19" s="21"/>
      <c r="L19" s="34">
        <v>0.4375</v>
      </c>
    </row>
    <row r="20" spans="1:12" x14ac:dyDescent="0.2">
      <c r="A20" s="39"/>
      <c r="B20" s="35">
        <f t="shared" si="1"/>
        <v>0.4541666666666665</v>
      </c>
      <c r="C20" s="29">
        <f t="shared" si="0"/>
        <v>4.1666666666666666E-3</v>
      </c>
      <c r="D20" s="30">
        <v>17</v>
      </c>
      <c r="E20" s="21" t="s">
        <v>18</v>
      </c>
      <c r="F20" s="31" t="s">
        <v>1</v>
      </c>
      <c r="G20" s="21">
        <v>3</v>
      </c>
      <c r="H20" s="21">
        <v>1</v>
      </c>
      <c r="I20" s="33">
        <v>1.3888888888888889E-3</v>
      </c>
      <c r="J20" s="21"/>
      <c r="K20" s="21">
        <v>4</v>
      </c>
      <c r="L20" s="34"/>
    </row>
    <row r="21" spans="1:12" x14ac:dyDescent="0.2">
      <c r="A21" s="39"/>
      <c r="B21" s="35">
        <f t="shared" si="1"/>
        <v>0.45833333333333315</v>
      </c>
      <c r="C21" s="29">
        <f t="shared" si="0"/>
        <v>5.5555555555555558E-3</v>
      </c>
      <c r="D21" s="37">
        <v>18</v>
      </c>
      <c r="E21" s="20" t="s">
        <v>19</v>
      </c>
      <c r="F21" s="36" t="s">
        <v>1</v>
      </c>
      <c r="G21" s="21">
        <v>4</v>
      </c>
      <c r="H21" s="21">
        <v>1</v>
      </c>
      <c r="I21" s="33">
        <v>1.3888888888888889E-3</v>
      </c>
      <c r="J21" s="20">
        <v>2</v>
      </c>
      <c r="K21" s="21"/>
      <c r="L21" s="34">
        <v>0.45833333333333331</v>
      </c>
    </row>
    <row r="22" spans="1:12" x14ac:dyDescent="0.2">
      <c r="A22" s="39"/>
      <c r="B22" s="35">
        <f t="shared" si="1"/>
        <v>0.46388888888888868</v>
      </c>
      <c r="C22" s="29">
        <f t="shared" si="0"/>
        <v>4.1666666666666666E-3</v>
      </c>
      <c r="D22" s="30">
        <v>5</v>
      </c>
      <c r="E22" s="21" t="s">
        <v>42</v>
      </c>
      <c r="F22" s="31" t="s">
        <v>2</v>
      </c>
      <c r="G22" s="21">
        <v>3</v>
      </c>
      <c r="H22" s="21">
        <v>1</v>
      </c>
      <c r="I22" s="33">
        <v>1.3888888888888889E-3</v>
      </c>
      <c r="J22" s="20"/>
      <c r="K22" s="21">
        <v>12</v>
      </c>
      <c r="L22" s="34"/>
    </row>
    <row r="23" spans="1:12" x14ac:dyDescent="0.2">
      <c r="A23" s="39"/>
      <c r="B23" s="35">
        <f t="shared" si="1"/>
        <v>0.46805555555555534</v>
      </c>
      <c r="C23" s="29">
        <f>G23*H23*I23</f>
        <v>6.9444444444444449E-3</v>
      </c>
      <c r="D23" s="37">
        <v>19</v>
      </c>
      <c r="E23" s="20" t="s">
        <v>20</v>
      </c>
      <c r="F23" s="36" t="s">
        <v>2</v>
      </c>
      <c r="G23" s="21">
        <v>5</v>
      </c>
      <c r="H23" s="21">
        <v>1</v>
      </c>
      <c r="I23" s="33">
        <v>1.3888888888888889E-3</v>
      </c>
      <c r="J23" s="20">
        <v>7</v>
      </c>
      <c r="K23" s="21"/>
      <c r="L23" s="34">
        <v>0.45833333333333331</v>
      </c>
    </row>
    <row r="24" spans="1:12" x14ac:dyDescent="0.2">
      <c r="A24" s="39"/>
      <c r="B24" s="35">
        <f t="shared" si="1"/>
        <v>0.47499999999999976</v>
      </c>
      <c r="C24" s="29">
        <f>G24*H24*I24</f>
        <v>4.1666666666666666E-3</v>
      </c>
      <c r="D24" s="30">
        <v>5</v>
      </c>
      <c r="E24" s="21" t="s">
        <v>42</v>
      </c>
      <c r="F24" s="31" t="s">
        <v>1</v>
      </c>
      <c r="G24" s="21">
        <v>3</v>
      </c>
      <c r="H24" s="21">
        <v>1</v>
      </c>
      <c r="I24" s="33">
        <v>1.3888888888888889E-3</v>
      </c>
      <c r="J24" s="20"/>
      <c r="K24" s="21">
        <v>6</v>
      </c>
      <c r="L24" s="34"/>
    </row>
    <row r="25" spans="1:12" x14ac:dyDescent="0.2">
      <c r="A25" s="39"/>
      <c r="B25" s="35">
        <f t="shared" si="1"/>
        <v>0.47916666666666641</v>
      </c>
      <c r="C25" s="29">
        <f t="shared" ref="C25:C31" si="3">G25*H25*I25</f>
        <v>6.9444444444444449E-3</v>
      </c>
      <c r="D25" s="30">
        <v>19</v>
      </c>
      <c r="E25" s="21" t="s">
        <v>20</v>
      </c>
      <c r="F25" s="31" t="s">
        <v>1</v>
      </c>
      <c r="G25" s="21">
        <v>5</v>
      </c>
      <c r="H25" s="21">
        <v>1</v>
      </c>
      <c r="I25" s="33">
        <v>1.3888888888888889E-3</v>
      </c>
      <c r="J25" s="21"/>
      <c r="K25" s="21">
        <v>5</v>
      </c>
      <c r="L25" s="34"/>
    </row>
    <row r="26" spans="1:12" x14ac:dyDescent="0.2">
      <c r="A26" s="39"/>
      <c r="B26" s="35">
        <f t="shared" si="1"/>
        <v>0.48611111111111083</v>
      </c>
      <c r="C26" s="29">
        <f t="shared" si="3"/>
        <v>3.472222222222222E-3</v>
      </c>
      <c r="D26" s="30"/>
      <c r="E26" s="20" t="s">
        <v>54</v>
      </c>
      <c r="F26" s="36" t="s">
        <v>9</v>
      </c>
      <c r="G26" s="21">
        <v>1</v>
      </c>
      <c r="H26" s="21">
        <v>1</v>
      </c>
      <c r="I26" s="33">
        <v>3.472222222222222E-3</v>
      </c>
      <c r="J26" s="21"/>
      <c r="K26" s="21"/>
      <c r="L26" s="34"/>
    </row>
    <row r="27" spans="1:12" x14ac:dyDescent="0.2">
      <c r="A27" s="39"/>
      <c r="B27" s="35">
        <f t="shared" si="1"/>
        <v>0.48958333333333304</v>
      </c>
      <c r="C27" s="29">
        <f t="shared" si="3"/>
        <v>6.9444444444444449E-3</v>
      </c>
      <c r="D27" s="37">
        <v>30</v>
      </c>
      <c r="E27" s="20" t="s">
        <v>14</v>
      </c>
      <c r="F27" s="36" t="s">
        <v>2</v>
      </c>
      <c r="G27" s="21">
        <v>5</v>
      </c>
      <c r="H27" s="21">
        <v>1</v>
      </c>
      <c r="I27" s="33">
        <v>1.3888888888888889E-3</v>
      </c>
      <c r="J27" s="20">
        <v>8</v>
      </c>
      <c r="K27" s="21"/>
      <c r="L27" s="34">
        <v>0.47916666666666669</v>
      </c>
    </row>
    <row r="28" spans="1:12" x14ac:dyDescent="0.2">
      <c r="A28" s="39"/>
      <c r="B28" s="35">
        <f t="shared" si="1"/>
        <v>0.49652777777777746</v>
      </c>
      <c r="C28" s="29">
        <f t="shared" si="3"/>
        <v>6.9444444444444449E-3</v>
      </c>
      <c r="D28" s="37">
        <v>31</v>
      </c>
      <c r="E28" s="20" t="s">
        <v>36</v>
      </c>
      <c r="F28" s="36" t="s">
        <v>1</v>
      </c>
      <c r="G28" s="21">
        <v>5</v>
      </c>
      <c r="H28" s="21">
        <v>1</v>
      </c>
      <c r="I28" s="33">
        <v>1.3888888888888889E-3</v>
      </c>
      <c r="J28" s="20">
        <v>3</v>
      </c>
      <c r="K28" s="21"/>
      <c r="L28" s="34">
        <v>0.47916666666666669</v>
      </c>
    </row>
    <row r="29" spans="1:12" x14ac:dyDescent="0.2">
      <c r="A29" s="39"/>
      <c r="B29" s="35">
        <f t="shared" si="1"/>
        <v>0.50347222222222188</v>
      </c>
      <c r="C29" s="29">
        <f t="shared" si="3"/>
        <v>6.9444444444444449E-3</v>
      </c>
      <c r="D29" s="30">
        <v>30</v>
      </c>
      <c r="E29" s="21" t="s">
        <v>14</v>
      </c>
      <c r="F29" s="31" t="s">
        <v>1</v>
      </c>
      <c r="G29" s="21">
        <v>5</v>
      </c>
      <c r="H29" s="21">
        <v>1</v>
      </c>
      <c r="I29" s="33">
        <v>1.3888888888888889E-3</v>
      </c>
      <c r="J29" s="21"/>
      <c r="K29" s="21">
        <v>5</v>
      </c>
      <c r="L29" s="34"/>
    </row>
    <row r="30" spans="1:12" x14ac:dyDescent="0.2">
      <c r="A30" s="39"/>
      <c r="B30" s="35">
        <f t="shared" si="1"/>
        <v>0.5104166666666663</v>
      </c>
      <c r="C30" s="29">
        <f t="shared" si="3"/>
        <v>3.472222222222222E-3</v>
      </c>
      <c r="D30" s="30"/>
      <c r="E30" s="20" t="s">
        <v>53</v>
      </c>
      <c r="F30" s="36" t="s">
        <v>9</v>
      </c>
      <c r="G30" s="21">
        <v>1</v>
      </c>
      <c r="H30" s="21">
        <v>1</v>
      </c>
      <c r="I30" s="33">
        <v>3.472222222222222E-3</v>
      </c>
      <c r="J30" s="21"/>
      <c r="K30" s="21"/>
      <c r="L30" s="34"/>
    </row>
    <row r="31" spans="1:12" ht="90" x14ac:dyDescent="0.2">
      <c r="A31" s="39"/>
      <c r="B31" s="35">
        <f t="shared" si="1"/>
        <v>0.51388888888888851</v>
      </c>
      <c r="C31" s="29">
        <f t="shared" si="3"/>
        <v>1.2500000000000001E-2</v>
      </c>
      <c r="D31" s="37"/>
      <c r="E31" s="40" t="s">
        <v>46</v>
      </c>
      <c r="F31" s="36" t="s">
        <v>9</v>
      </c>
      <c r="G31" s="21">
        <v>6</v>
      </c>
      <c r="H31" s="21">
        <v>1</v>
      </c>
      <c r="I31" s="33">
        <v>2.0833333333333333E-3</v>
      </c>
      <c r="J31" s="20"/>
      <c r="K31" s="1"/>
      <c r="L31" s="34"/>
    </row>
    <row r="32" spans="1:12" x14ac:dyDescent="0.2">
      <c r="A32" s="39"/>
      <c r="B32" s="35">
        <f t="shared" si="1"/>
        <v>0.52638888888888846</v>
      </c>
      <c r="C32" s="29">
        <f t="shared" si="0"/>
        <v>4.1666666666666666E-3</v>
      </c>
      <c r="D32" s="37">
        <v>14</v>
      </c>
      <c r="E32" s="20" t="s">
        <v>16</v>
      </c>
      <c r="F32" s="36" t="s">
        <v>2</v>
      </c>
      <c r="G32" s="21">
        <v>3</v>
      </c>
      <c r="H32" s="21">
        <v>1</v>
      </c>
      <c r="I32" s="33">
        <v>1.3888888888888889E-3</v>
      </c>
      <c r="J32" s="20">
        <v>7</v>
      </c>
      <c r="K32" s="21"/>
      <c r="L32" s="34">
        <v>0.52083333333333337</v>
      </c>
    </row>
    <row r="33" spans="1:12" x14ac:dyDescent="0.2">
      <c r="A33" s="39"/>
      <c r="B33" s="35">
        <f t="shared" si="1"/>
        <v>0.53055555555555511</v>
      </c>
      <c r="C33" s="29">
        <f t="shared" si="0"/>
        <v>6.9444444444444449E-3</v>
      </c>
      <c r="D33" s="37">
        <v>16</v>
      </c>
      <c r="E33" s="20" t="s">
        <v>29</v>
      </c>
      <c r="F33" s="36" t="s">
        <v>1</v>
      </c>
      <c r="G33" s="21">
        <v>5</v>
      </c>
      <c r="H33" s="21">
        <v>1</v>
      </c>
      <c r="I33" s="33">
        <v>1.3888888888888889E-3</v>
      </c>
      <c r="J33" s="20">
        <v>3</v>
      </c>
      <c r="K33" s="21"/>
      <c r="L33" s="34">
        <v>0.52083333333333337</v>
      </c>
    </row>
    <row r="34" spans="1:12" x14ac:dyDescent="0.2">
      <c r="A34" s="39"/>
      <c r="B34" s="35">
        <f t="shared" si="1"/>
        <v>0.53749999999999953</v>
      </c>
      <c r="C34" s="29">
        <f t="shared" si="0"/>
        <v>4.1666666666666666E-3</v>
      </c>
      <c r="D34" s="30">
        <v>14</v>
      </c>
      <c r="E34" s="21" t="s">
        <v>16</v>
      </c>
      <c r="F34" s="31" t="s">
        <v>1</v>
      </c>
      <c r="G34" s="21">
        <v>3</v>
      </c>
      <c r="H34" s="21">
        <v>1</v>
      </c>
      <c r="I34" s="33">
        <v>1.3888888888888889E-3</v>
      </c>
      <c r="J34" s="8"/>
      <c r="K34" s="21">
        <v>5</v>
      </c>
      <c r="L34" s="34"/>
    </row>
    <row r="35" spans="1:12" x14ac:dyDescent="0.2">
      <c r="A35" s="39"/>
      <c r="B35" s="35">
        <f t="shared" si="1"/>
        <v>0.54166666666666619</v>
      </c>
      <c r="C35" s="29">
        <f t="shared" si="0"/>
        <v>1.1111111111111112E-2</v>
      </c>
      <c r="D35" s="37">
        <v>6</v>
      </c>
      <c r="E35" s="20" t="s">
        <v>41</v>
      </c>
      <c r="F35" s="36" t="s">
        <v>5</v>
      </c>
      <c r="G35" s="21">
        <v>4</v>
      </c>
      <c r="H35" s="21">
        <v>2</v>
      </c>
      <c r="I35" s="33">
        <v>1.3888888888888889E-3</v>
      </c>
      <c r="J35" s="20">
        <v>22</v>
      </c>
      <c r="K35" s="21"/>
      <c r="L35" s="34">
        <v>0.53125</v>
      </c>
    </row>
    <row r="36" spans="1:12" x14ac:dyDescent="0.2">
      <c r="A36" s="39"/>
      <c r="B36" s="35">
        <f t="shared" si="1"/>
        <v>0.55277777777777726</v>
      </c>
      <c r="C36" s="29">
        <f t="shared" si="0"/>
        <v>4.1666666666666666E-3</v>
      </c>
      <c r="D36" s="37">
        <v>41</v>
      </c>
      <c r="E36" s="20" t="s">
        <v>44</v>
      </c>
      <c r="F36" s="36" t="s">
        <v>1</v>
      </c>
      <c r="G36" s="21">
        <v>3</v>
      </c>
      <c r="H36" s="21">
        <v>1</v>
      </c>
      <c r="I36" s="33">
        <v>1.3888888888888889E-3</v>
      </c>
      <c r="J36" s="20">
        <v>5</v>
      </c>
      <c r="K36" s="21"/>
      <c r="L36" s="34">
        <v>0.54166666666666663</v>
      </c>
    </row>
    <row r="37" spans="1:12" x14ac:dyDescent="0.2">
      <c r="A37" s="39"/>
      <c r="B37" s="35">
        <f t="shared" si="1"/>
        <v>0.55694444444444391</v>
      </c>
      <c r="C37" s="29">
        <f t="shared" si="0"/>
        <v>5.5555555555555558E-3</v>
      </c>
      <c r="D37" s="30">
        <v>6</v>
      </c>
      <c r="E37" s="21" t="s">
        <v>41</v>
      </c>
      <c r="F37" s="31" t="s">
        <v>2</v>
      </c>
      <c r="G37" s="21">
        <v>4</v>
      </c>
      <c r="H37" s="21">
        <v>1</v>
      </c>
      <c r="I37" s="33">
        <v>1.3888888888888889E-3</v>
      </c>
      <c r="J37" s="20"/>
      <c r="K37" s="21">
        <v>12</v>
      </c>
      <c r="L37" s="34"/>
    </row>
    <row r="38" spans="1:12" x14ac:dyDescent="0.2">
      <c r="A38" s="39"/>
      <c r="B38" s="35">
        <f t="shared" si="1"/>
        <v>0.56249999999999944</v>
      </c>
      <c r="C38" s="29">
        <f t="shared" si="0"/>
        <v>6.9444444444444449E-3</v>
      </c>
      <c r="D38" s="37">
        <v>21</v>
      </c>
      <c r="E38" s="20" t="s">
        <v>30</v>
      </c>
      <c r="F38" s="36" t="s">
        <v>2</v>
      </c>
      <c r="G38" s="21">
        <v>5</v>
      </c>
      <c r="H38" s="21">
        <v>1</v>
      </c>
      <c r="I38" s="33">
        <v>1.3888888888888889E-3</v>
      </c>
      <c r="J38" s="20">
        <v>7</v>
      </c>
      <c r="K38" s="21"/>
      <c r="L38" s="34">
        <v>0.55208333333333337</v>
      </c>
    </row>
    <row r="39" spans="1:12" x14ac:dyDescent="0.2">
      <c r="A39" s="39"/>
      <c r="B39" s="35">
        <f t="shared" si="1"/>
        <v>0.56944444444444386</v>
      </c>
      <c r="C39" s="29">
        <f t="shared" si="0"/>
        <v>5.5555555555555558E-3</v>
      </c>
      <c r="D39" s="30">
        <v>6</v>
      </c>
      <c r="E39" s="21" t="s">
        <v>41</v>
      </c>
      <c r="F39" s="31" t="s">
        <v>1</v>
      </c>
      <c r="G39" s="21">
        <v>4</v>
      </c>
      <c r="H39" s="21">
        <v>1</v>
      </c>
      <c r="I39" s="33">
        <v>1.3888888888888889E-3</v>
      </c>
      <c r="J39" s="20"/>
      <c r="K39" s="21">
        <v>6</v>
      </c>
      <c r="L39" s="34"/>
    </row>
    <row r="40" spans="1:12" x14ac:dyDescent="0.2">
      <c r="A40" s="39"/>
      <c r="B40" s="35">
        <f t="shared" si="1"/>
        <v>0.5749999999999994</v>
      </c>
      <c r="C40" s="29">
        <f t="shared" si="0"/>
        <v>6.9444444444444449E-3</v>
      </c>
      <c r="D40" s="30">
        <v>21</v>
      </c>
      <c r="E40" s="21" t="s">
        <v>30</v>
      </c>
      <c r="F40" s="31" t="s">
        <v>1</v>
      </c>
      <c r="G40" s="21">
        <v>5</v>
      </c>
      <c r="H40" s="21">
        <v>1</v>
      </c>
      <c r="I40" s="33">
        <v>1.3888888888888889E-3</v>
      </c>
      <c r="J40" s="21"/>
      <c r="K40" s="21">
        <v>5</v>
      </c>
      <c r="L40" s="34"/>
    </row>
    <row r="41" spans="1:12" x14ac:dyDescent="0.2">
      <c r="A41" s="39"/>
      <c r="B41" s="35">
        <f t="shared" si="1"/>
        <v>0.58194444444444382</v>
      </c>
      <c r="C41" s="29">
        <f t="shared" si="0"/>
        <v>6.9444444444444449E-3</v>
      </c>
      <c r="D41" s="37">
        <v>22</v>
      </c>
      <c r="E41" s="20" t="s">
        <v>31</v>
      </c>
      <c r="F41" s="36" t="s">
        <v>1</v>
      </c>
      <c r="G41" s="21">
        <v>5</v>
      </c>
      <c r="H41" s="21">
        <v>1</v>
      </c>
      <c r="I41" s="33">
        <v>1.3888888888888889E-3</v>
      </c>
      <c r="J41" s="20">
        <v>3</v>
      </c>
      <c r="K41" s="21"/>
      <c r="L41" s="34">
        <v>0.5625</v>
      </c>
    </row>
    <row r="42" spans="1:12" ht="78.75" x14ac:dyDescent="0.2">
      <c r="A42" s="39"/>
      <c r="B42" s="35">
        <f t="shared" si="1"/>
        <v>0.58888888888888824</v>
      </c>
      <c r="C42" s="29">
        <f t="shared" si="0"/>
        <v>1.4583333333333334E-2</v>
      </c>
      <c r="D42" s="30"/>
      <c r="E42" s="40" t="s">
        <v>52</v>
      </c>
      <c r="F42" s="36" t="s">
        <v>9</v>
      </c>
      <c r="G42" s="21">
        <v>7</v>
      </c>
      <c r="H42" s="21">
        <v>1</v>
      </c>
      <c r="I42" s="33">
        <v>2.0833333333333333E-3</v>
      </c>
      <c r="J42" s="20"/>
      <c r="K42" s="21"/>
      <c r="L42" s="34"/>
    </row>
    <row r="43" spans="1:12" x14ac:dyDescent="0.2">
      <c r="A43" s="39"/>
      <c r="B43" s="35">
        <f t="shared" si="1"/>
        <v>0.60347222222222152</v>
      </c>
      <c r="C43" s="29">
        <f t="shared" si="0"/>
        <v>1.1111111111111112E-2</v>
      </c>
      <c r="D43" s="37">
        <v>23</v>
      </c>
      <c r="E43" s="20" t="s">
        <v>22</v>
      </c>
      <c r="F43" s="36" t="s">
        <v>5</v>
      </c>
      <c r="G43" s="21">
        <v>4</v>
      </c>
      <c r="H43" s="21">
        <v>2</v>
      </c>
      <c r="I43" s="33">
        <v>1.3888888888888889E-3</v>
      </c>
      <c r="J43" s="20">
        <v>14</v>
      </c>
      <c r="K43" s="21"/>
      <c r="L43" s="34">
        <v>0.59375</v>
      </c>
    </row>
    <row r="44" spans="1:12" x14ac:dyDescent="0.2">
      <c r="A44" s="39"/>
      <c r="B44" s="35">
        <f t="shared" si="1"/>
        <v>0.61458333333333259</v>
      </c>
      <c r="C44" s="29">
        <f>G44*H44*I44</f>
        <v>6.9444444444444449E-3</v>
      </c>
      <c r="D44" s="37">
        <v>25</v>
      </c>
      <c r="E44" s="20" t="s">
        <v>33</v>
      </c>
      <c r="F44" s="36" t="s">
        <v>2</v>
      </c>
      <c r="G44" s="21">
        <v>5</v>
      </c>
      <c r="H44" s="21">
        <v>1</v>
      </c>
      <c r="I44" s="33">
        <v>1.3888888888888889E-3</v>
      </c>
      <c r="J44" s="20">
        <v>8</v>
      </c>
      <c r="K44" s="21"/>
      <c r="L44" s="34">
        <v>0.59375</v>
      </c>
    </row>
    <row r="45" spans="1:12" x14ac:dyDescent="0.2">
      <c r="A45" s="39"/>
      <c r="B45" s="35">
        <f t="shared" si="1"/>
        <v>0.62152777777777701</v>
      </c>
      <c r="C45" s="29">
        <f>G45*H45*I45</f>
        <v>3.472222222222222E-3</v>
      </c>
      <c r="D45" s="30"/>
      <c r="E45" s="20" t="s">
        <v>48</v>
      </c>
      <c r="F45" s="36" t="s">
        <v>9</v>
      </c>
      <c r="G45" s="21">
        <v>1</v>
      </c>
      <c r="H45" s="21">
        <v>1</v>
      </c>
      <c r="I45" s="33">
        <v>3.472222222222222E-3</v>
      </c>
      <c r="J45" s="20"/>
      <c r="K45" s="21"/>
      <c r="L45" s="34"/>
    </row>
    <row r="46" spans="1:12" x14ac:dyDescent="0.2">
      <c r="A46" s="39"/>
      <c r="B46" s="35">
        <f t="shared" si="1"/>
        <v>0.62499999999999922</v>
      </c>
      <c r="C46" s="29">
        <f t="shared" si="0"/>
        <v>5.5555555555555558E-3</v>
      </c>
      <c r="D46" s="30">
        <v>23</v>
      </c>
      <c r="E46" s="21" t="s">
        <v>22</v>
      </c>
      <c r="F46" s="31" t="s">
        <v>2</v>
      </c>
      <c r="G46" s="21">
        <v>4</v>
      </c>
      <c r="H46" s="21">
        <v>1</v>
      </c>
      <c r="I46" s="33">
        <v>1.3888888888888889E-3</v>
      </c>
      <c r="J46" s="20"/>
      <c r="K46" s="21">
        <v>10</v>
      </c>
      <c r="L46" s="34"/>
    </row>
    <row r="47" spans="1:12" x14ac:dyDescent="0.2">
      <c r="A47" s="39"/>
      <c r="B47" s="35">
        <f t="shared" si="1"/>
        <v>0.63055555555555476</v>
      </c>
      <c r="C47" s="29">
        <f>G47*H47*I47</f>
        <v>6.9444444444444449E-3</v>
      </c>
      <c r="D47" s="30">
        <v>25</v>
      </c>
      <c r="E47" s="21" t="s">
        <v>33</v>
      </c>
      <c r="F47" s="31" t="s">
        <v>1</v>
      </c>
      <c r="G47" s="21">
        <v>5</v>
      </c>
      <c r="H47" s="21">
        <v>1</v>
      </c>
      <c r="I47" s="33">
        <v>1.3888888888888889E-3</v>
      </c>
      <c r="J47" s="21"/>
      <c r="K47" s="21">
        <v>5</v>
      </c>
      <c r="L47" s="34"/>
    </row>
    <row r="48" spans="1:12" x14ac:dyDescent="0.2">
      <c r="A48" s="39"/>
      <c r="B48" s="35">
        <f t="shared" si="1"/>
        <v>0.63749999999999918</v>
      </c>
      <c r="C48" s="29">
        <f t="shared" ref="C48" si="4">G48*H48*I48</f>
        <v>5.5555555555555558E-3</v>
      </c>
      <c r="D48" s="30">
        <v>23</v>
      </c>
      <c r="E48" s="21" t="s">
        <v>22</v>
      </c>
      <c r="F48" s="31" t="s">
        <v>1</v>
      </c>
      <c r="G48" s="21">
        <v>4</v>
      </c>
      <c r="H48" s="21">
        <v>1</v>
      </c>
      <c r="I48" s="33">
        <v>1.3888888888888889E-3</v>
      </c>
      <c r="J48" s="21"/>
      <c r="K48" s="21">
        <v>6</v>
      </c>
      <c r="L48" s="34"/>
    </row>
    <row r="49" spans="1:12" x14ac:dyDescent="0.2">
      <c r="A49" s="39"/>
      <c r="B49" s="35">
        <f t="shared" si="1"/>
        <v>0.64305555555555471</v>
      </c>
      <c r="C49" s="29">
        <f>G49*H49*I49</f>
        <v>3.472222222222222E-3</v>
      </c>
      <c r="D49" s="30"/>
      <c r="E49" s="20" t="s">
        <v>50</v>
      </c>
      <c r="F49" s="36" t="s">
        <v>9</v>
      </c>
      <c r="G49" s="21">
        <v>1</v>
      </c>
      <c r="H49" s="21">
        <v>1</v>
      </c>
      <c r="I49" s="33">
        <v>3.472222222222222E-3</v>
      </c>
      <c r="J49" s="20"/>
      <c r="K49" s="21"/>
      <c r="L49" s="34"/>
    </row>
    <row r="50" spans="1:12" x14ac:dyDescent="0.2">
      <c r="A50" s="39"/>
      <c r="B50" s="35">
        <f t="shared" si="1"/>
        <v>0.64652777777777692</v>
      </c>
      <c r="C50" s="29">
        <f t="shared" si="0"/>
        <v>6.9444444444444449E-3</v>
      </c>
      <c r="D50" s="37">
        <v>35</v>
      </c>
      <c r="E50" s="20" t="s">
        <v>15</v>
      </c>
      <c r="F50" s="36" t="s">
        <v>2</v>
      </c>
      <c r="G50" s="21">
        <v>5</v>
      </c>
      <c r="H50" s="21">
        <v>1</v>
      </c>
      <c r="I50" s="33">
        <v>1.3888888888888889E-3</v>
      </c>
      <c r="J50" s="20">
        <v>6</v>
      </c>
      <c r="K50" s="21"/>
      <c r="L50" s="34">
        <v>0.63541666666666663</v>
      </c>
    </row>
    <row r="51" spans="1:12" x14ac:dyDescent="0.2">
      <c r="A51" s="39"/>
      <c r="B51" s="35">
        <f t="shared" si="1"/>
        <v>0.65347222222222134</v>
      </c>
      <c r="C51" s="29">
        <f t="shared" si="0"/>
        <v>6.9444444444444449E-3</v>
      </c>
      <c r="D51" s="37">
        <v>36</v>
      </c>
      <c r="E51" s="20" t="s">
        <v>39</v>
      </c>
      <c r="F51" s="36" t="s">
        <v>1</v>
      </c>
      <c r="G51" s="21">
        <v>5</v>
      </c>
      <c r="H51" s="21">
        <v>1</v>
      </c>
      <c r="I51" s="33">
        <v>1.3888888888888889E-3</v>
      </c>
      <c r="J51" s="20">
        <v>2</v>
      </c>
      <c r="K51" s="21"/>
      <c r="L51" s="34">
        <v>0.64583333333333337</v>
      </c>
    </row>
    <row r="52" spans="1:12" x14ac:dyDescent="0.2">
      <c r="A52" s="39"/>
      <c r="B52" s="35">
        <f t="shared" si="1"/>
        <v>0.66041666666666576</v>
      </c>
      <c r="C52" s="29">
        <f t="shared" si="0"/>
        <v>6.9444444444444449E-3</v>
      </c>
      <c r="D52" s="30">
        <v>35</v>
      </c>
      <c r="E52" s="21" t="s">
        <v>15</v>
      </c>
      <c r="F52" s="31" t="s">
        <v>1</v>
      </c>
      <c r="G52" s="21">
        <v>5</v>
      </c>
      <c r="H52" s="21">
        <v>1</v>
      </c>
      <c r="I52" s="33">
        <v>1.3888888888888889E-3</v>
      </c>
      <c r="J52" s="21"/>
      <c r="K52" s="21">
        <v>4</v>
      </c>
      <c r="L52" s="34"/>
    </row>
    <row r="53" spans="1:12" x14ac:dyDescent="0.2">
      <c r="A53" s="39"/>
      <c r="B53" s="35">
        <f t="shared" si="1"/>
        <v>0.66736111111111018</v>
      </c>
      <c r="C53" s="29">
        <f>G53*H53*I53</f>
        <v>5.5555555555555558E-3</v>
      </c>
      <c r="D53" s="30">
        <v>24</v>
      </c>
      <c r="E53" s="20" t="s">
        <v>32</v>
      </c>
      <c r="F53" s="36" t="s">
        <v>1</v>
      </c>
      <c r="G53" s="21">
        <v>4</v>
      </c>
      <c r="H53" s="21">
        <v>1</v>
      </c>
      <c r="I53" s="33">
        <v>1.3888888888888889E-3</v>
      </c>
      <c r="J53" s="20">
        <v>2</v>
      </c>
      <c r="K53" s="21"/>
      <c r="L53" s="34">
        <v>0.65625</v>
      </c>
    </row>
    <row r="54" spans="1:12" x14ac:dyDescent="0.2">
      <c r="A54" s="39"/>
      <c r="B54" s="35">
        <f t="shared" si="1"/>
        <v>0.67291666666666572</v>
      </c>
      <c r="C54" s="29">
        <f>G54*H54*I54</f>
        <v>3.472222222222222E-3</v>
      </c>
      <c r="D54" s="30"/>
      <c r="E54" s="20" t="s">
        <v>49</v>
      </c>
      <c r="F54" s="36" t="s">
        <v>9</v>
      </c>
      <c r="G54" s="21">
        <v>1</v>
      </c>
      <c r="H54" s="21">
        <v>1</v>
      </c>
      <c r="I54" s="33">
        <v>3.472222222222222E-3</v>
      </c>
      <c r="J54" s="20"/>
      <c r="K54" s="21"/>
      <c r="L54" s="34"/>
    </row>
    <row r="55" spans="1:12" ht="90" x14ac:dyDescent="0.2">
      <c r="A55" s="39"/>
      <c r="B55" s="35">
        <f t="shared" si="1"/>
        <v>0.67638888888888793</v>
      </c>
      <c r="C55" s="29">
        <f t="shared" si="0"/>
        <v>1.0416666666666666E-2</v>
      </c>
      <c r="D55" s="30"/>
      <c r="E55" s="40" t="s">
        <v>47</v>
      </c>
      <c r="F55" s="36" t="s">
        <v>9</v>
      </c>
      <c r="G55" s="21">
        <v>5</v>
      </c>
      <c r="H55" s="21">
        <v>1</v>
      </c>
      <c r="I55" s="33">
        <v>2.0833333333333333E-3</v>
      </c>
      <c r="J55" s="20"/>
      <c r="K55" s="21"/>
      <c r="L55" s="34"/>
    </row>
    <row r="56" spans="1:12" x14ac:dyDescent="0.2">
      <c r="A56" s="39"/>
      <c r="B56" s="35">
        <f t="shared" si="1"/>
        <v>0.68680555555555456</v>
      </c>
      <c r="C56" s="29">
        <f t="shared" si="0"/>
        <v>1.1111111111111112E-2</v>
      </c>
      <c r="D56" s="37">
        <v>26</v>
      </c>
      <c r="E56" s="20" t="s">
        <v>24</v>
      </c>
      <c r="F56" s="36" t="s">
        <v>5</v>
      </c>
      <c r="G56" s="21">
        <v>4</v>
      </c>
      <c r="H56" s="21">
        <v>2</v>
      </c>
      <c r="I56" s="33">
        <v>1.3888888888888889E-3</v>
      </c>
      <c r="J56" s="20">
        <v>18</v>
      </c>
      <c r="K56" s="21"/>
      <c r="L56" s="34">
        <v>0.66666666666666663</v>
      </c>
    </row>
    <row r="57" spans="1:12" x14ac:dyDescent="0.2">
      <c r="A57" s="39"/>
      <c r="B57" s="35">
        <f t="shared" si="1"/>
        <v>0.69791666666666563</v>
      </c>
      <c r="C57" s="29">
        <f t="shared" si="0"/>
        <v>1.388888888888889E-2</v>
      </c>
      <c r="D57" s="37">
        <v>28</v>
      </c>
      <c r="E57" s="20" t="s">
        <v>25</v>
      </c>
      <c r="F57" s="36" t="s">
        <v>5</v>
      </c>
      <c r="G57" s="21">
        <v>5</v>
      </c>
      <c r="H57" s="21">
        <v>2</v>
      </c>
      <c r="I57" s="33">
        <v>1.3888888888888889E-3</v>
      </c>
      <c r="J57" s="20">
        <v>19</v>
      </c>
      <c r="K57" s="21"/>
      <c r="L57" s="34">
        <v>0.6875</v>
      </c>
    </row>
    <row r="58" spans="1:12" x14ac:dyDescent="0.2">
      <c r="A58" s="39"/>
      <c r="B58" s="35">
        <f t="shared" si="1"/>
        <v>0.71180555555555447</v>
      </c>
      <c r="C58" s="29">
        <f t="shared" si="0"/>
        <v>5.5555555555555558E-3</v>
      </c>
      <c r="D58" s="30">
        <v>26</v>
      </c>
      <c r="E58" s="21" t="s">
        <v>24</v>
      </c>
      <c r="F58" s="31" t="s">
        <v>2</v>
      </c>
      <c r="G58" s="21">
        <v>4</v>
      </c>
      <c r="H58" s="21">
        <v>1</v>
      </c>
      <c r="I58" s="33">
        <v>1.3888888888888889E-3</v>
      </c>
      <c r="J58" s="20"/>
      <c r="K58" s="21">
        <v>12</v>
      </c>
      <c r="L58" s="34"/>
    </row>
    <row r="59" spans="1:12" x14ac:dyDescent="0.2">
      <c r="A59" s="39"/>
      <c r="B59" s="35">
        <f t="shared" si="1"/>
        <v>0.71736111111111001</v>
      </c>
      <c r="C59" s="29">
        <f t="shared" si="0"/>
        <v>1.388888888888889E-2</v>
      </c>
      <c r="D59" s="30">
        <v>28</v>
      </c>
      <c r="E59" s="21" t="s">
        <v>25</v>
      </c>
      <c r="F59" s="31" t="s">
        <v>2</v>
      </c>
      <c r="G59" s="21">
        <v>5</v>
      </c>
      <c r="H59" s="21">
        <v>2</v>
      </c>
      <c r="I59" s="33">
        <v>1.3888888888888889E-3</v>
      </c>
      <c r="J59" s="20"/>
      <c r="K59" s="21">
        <v>12</v>
      </c>
      <c r="L59" s="34"/>
    </row>
    <row r="60" spans="1:12" x14ac:dyDescent="0.2">
      <c r="A60" s="39"/>
      <c r="B60" s="35">
        <f t="shared" si="1"/>
        <v>0.73124999999999885</v>
      </c>
      <c r="C60" s="29">
        <f t="shared" si="0"/>
        <v>5.5555555555555558E-3</v>
      </c>
      <c r="D60" s="30">
        <v>26</v>
      </c>
      <c r="E60" s="21" t="s">
        <v>24</v>
      </c>
      <c r="F60" s="31" t="s">
        <v>1</v>
      </c>
      <c r="G60" s="21">
        <v>4</v>
      </c>
      <c r="H60" s="21">
        <v>1</v>
      </c>
      <c r="I60" s="33">
        <v>1.3888888888888889E-3</v>
      </c>
      <c r="J60" s="20"/>
      <c r="K60" s="21">
        <v>6</v>
      </c>
      <c r="L60" s="34"/>
    </row>
    <row r="61" spans="1:12" x14ac:dyDescent="0.2">
      <c r="A61" s="39"/>
      <c r="B61" s="35">
        <f t="shared" si="1"/>
        <v>0.73680555555555438</v>
      </c>
      <c r="C61" s="29">
        <f t="shared" si="0"/>
        <v>6.9444444444444449E-3</v>
      </c>
      <c r="D61" s="30">
        <v>28</v>
      </c>
      <c r="E61" s="21" t="s">
        <v>25</v>
      </c>
      <c r="F61" s="31" t="s">
        <v>1</v>
      </c>
      <c r="G61" s="21">
        <v>5</v>
      </c>
      <c r="H61" s="21">
        <v>1</v>
      </c>
      <c r="I61" s="33">
        <v>1.3888888888888889E-3</v>
      </c>
      <c r="J61" s="20"/>
      <c r="K61" s="21">
        <v>6</v>
      </c>
      <c r="L61" s="34"/>
    </row>
    <row r="62" spans="1:12" x14ac:dyDescent="0.2">
      <c r="A62" s="39"/>
      <c r="B62" s="35">
        <f t="shared" si="1"/>
        <v>0.7437499999999988</v>
      </c>
      <c r="C62" s="29">
        <f t="shared" si="0"/>
        <v>6.9444444444444449E-3</v>
      </c>
      <c r="D62" s="37">
        <v>32</v>
      </c>
      <c r="E62" s="20" t="s">
        <v>10</v>
      </c>
      <c r="F62" s="36" t="s">
        <v>2</v>
      </c>
      <c r="G62" s="21">
        <v>5</v>
      </c>
      <c r="H62" s="21">
        <v>1</v>
      </c>
      <c r="I62" s="33">
        <v>1.3888888888888889E-3</v>
      </c>
      <c r="J62" s="20">
        <v>6</v>
      </c>
      <c r="K62" s="21"/>
      <c r="L62" s="34">
        <v>0.71875</v>
      </c>
    </row>
    <row r="63" spans="1:12" x14ac:dyDescent="0.2">
      <c r="A63" s="39"/>
      <c r="B63" s="35">
        <f t="shared" si="1"/>
        <v>0.75069444444444322</v>
      </c>
      <c r="C63" s="29">
        <f t="shared" si="0"/>
        <v>6.9444444444444449E-3</v>
      </c>
      <c r="D63" s="37">
        <v>33</v>
      </c>
      <c r="E63" s="20" t="s">
        <v>11</v>
      </c>
      <c r="F63" s="36" t="s">
        <v>1</v>
      </c>
      <c r="G63" s="21">
        <v>5</v>
      </c>
      <c r="H63" s="21">
        <v>1</v>
      </c>
      <c r="I63" s="33">
        <v>1.3888888888888889E-3</v>
      </c>
      <c r="J63" s="20">
        <v>5</v>
      </c>
      <c r="K63" s="21"/>
      <c r="L63" s="34">
        <v>0.72916666666666663</v>
      </c>
    </row>
    <row r="64" spans="1:12" x14ac:dyDescent="0.2">
      <c r="A64" s="39"/>
      <c r="B64" s="35">
        <f t="shared" si="1"/>
        <v>0.75763888888888764</v>
      </c>
      <c r="C64" s="29">
        <f t="shared" si="0"/>
        <v>6.9444444444444449E-3</v>
      </c>
      <c r="D64" s="30">
        <v>32</v>
      </c>
      <c r="E64" s="21" t="s">
        <v>10</v>
      </c>
      <c r="F64" s="31" t="s">
        <v>1</v>
      </c>
      <c r="G64" s="21">
        <v>5</v>
      </c>
      <c r="H64" s="21">
        <v>1</v>
      </c>
      <c r="I64" s="33">
        <v>1.3888888888888889E-3</v>
      </c>
      <c r="J64" s="21"/>
      <c r="K64" s="21">
        <v>4</v>
      </c>
      <c r="L64" s="34"/>
    </row>
    <row r="65" spans="1:12" x14ac:dyDescent="0.2">
      <c r="A65" s="39"/>
      <c r="B65" s="35">
        <f t="shared" si="1"/>
        <v>0.76458333333333206</v>
      </c>
      <c r="C65" s="29">
        <f>G65*H65*I65</f>
        <v>3.472222222222222E-3</v>
      </c>
      <c r="D65" s="30"/>
      <c r="E65" s="20" t="s">
        <v>57</v>
      </c>
      <c r="F65" s="36" t="s">
        <v>9</v>
      </c>
      <c r="G65" s="21">
        <v>1</v>
      </c>
      <c r="H65" s="21">
        <v>1</v>
      </c>
      <c r="I65" s="33">
        <v>3.472222222222222E-3</v>
      </c>
      <c r="J65" s="21"/>
      <c r="K65" s="21"/>
      <c r="L65" s="34"/>
    </row>
    <row r="66" spans="1:12" ht="67.5" x14ac:dyDescent="0.2">
      <c r="A66" s="39"/>
      <c r="B66" s="35">
        <f t="shared" si="1"/>
        <v>0.76805555555555427</v>
      </c>
      <c r="C66" s="29">
        <f>G66*H66*I66</f>
        <v>8.3333333333333332E-3</v>
      </c>
      <c r="D66" s="30"/>
      <c r="E66" s="40" t="s">
        <v>43</v>
      </c>
      <c r="F66" s="36" t="s">
        <v>9</v>
      </c>
      <c r="G66" s="21">
        <v>4</v>
      </c>
      <c r="H66" s="21">
        <v>1</v>
      </c>
      <c r="I66" s="33">
        <v>2.0833333333333333E-3</v>
      </c>
      <c r="J66" s="20"/>
      <c r="K66" s="21"/>
      <c r="L66" s="34"/>
    </row>
    <row r="67" spans="1:12" x14ac:dyDescent="0.2">
      <c r="A67" s="39"/>
      <c r="B67" s="35">
        <f t="shared" ref="B67:B73" si="5">B66+C66</f>
        <v>0.77638888888888757</v>
      </c>
      <c r="C67" s="29">
        <f t="shared" si="0"/>
        <v>5.5555555555555558E-3</v>
      </c>
      <c r="D67" s="37">
        <v>27</v>
      </c>
      <c r="E67" s="20" t="s">
        <v>34</v>
      </c>
      <c r="F67" s="36" t="s">
        <v>1</v>
      </c>
      <c r="G67" s="21">
        <v>4</v>
      </c>
      <c r="H67" s="21">
        <v>1</v>
      </c>
      <c r="I67" s="33">
        <v>1.3888888888888889E-3</v>
      </c>
      <c r="J67" s="20">
        <v>4</v>
      </c>
      <c r="K67" s="21"/>
      <c r="L67" s="34">
        <v>0.75</v>
      </c>
    </row>
    <row r="68" spans="1:12" x14ac:dyDescent="0.2">
      <c r="A68" s="39"/>
      <c r="B68" s="35">
        <f t="shared" si="5"/>
        <v>0.78194444444444311</v>
      </c>
      <c r="C68" s="29">
        <f t="shared" si="0"/>
        <v>4.1666666666666666E-3</v>
      </c>
      <c r="D68" s="37">
        <v>37</v>
      </c>
      <c r="E68" s="20" t="s">
        <v>37</v>
      </c>
      <c r="F68" s="36" t="s">
        <v>1</v>
      </c>
      <c r="G68" s="21">
        <v>3</v>
      </c>
      <c r="H68" s="21">
        <v>1</v>
      </c>
      <c r="I68" s="33">
        <v>1.3888888888888889E-3</v>
      </c>
      <c r="J68" s="20">
        <v>5</v>
      </c>
      <c r="K68" s="21"/>
      <c r="L68" s="34">
        <v>0.75</v>
      </c>
    </row>
    <row r="69" spans="1:12" x14ac:dyDescent="0.2">
      <c r="A69" s="39"/>
      <c r="B69" s="35">
        <f t="shared" si="5"/>
        <v>0.78611111111110976</v>
      </c>
      <c r="C69" s="29">
        <f t="shared" si="0"/>
        <v>5.5555555555555558E-3</v>
      </c>
      <c r="D69" s="37">
        <v>38</v>
      </c>
      <c r="E69" s="20" t="s">
        <v>12</v>
      </c>
      <c r="F69" s="36" t="s">
        <v>1</v>
      </c>
      <c r="G69" s="21">
        <v>4</v>
      </c>
      <c r="H69" s="21">
        <v>1</v>
      </c>
      <c r="I69" s="33">
        <v>1.3888888888888889E-3</v>
      </c>
      <c r="J69" s="20">
        <v>4</v>
      </c>
      <c r="K69" s="21"/>
      <c r="L69" s="34">
        <v>0.75</v>
      </c>
    </row>
    <row r="70" spans="1:12" x14ac:dyDescent="0.2">
      <c r="A70" s="39"/>
      <c r="B70" s="35">
        <f t="shared" si="5"/>
        <v>0.7916666666666653</v>
      </c>
      <c r="C70" s="29">
        <f t="shared" ref="C70:C73" si="6">G70*H70*I70</f>
        <v>5.5555555555555558E-3</v>
      </c>
      <c r="D70" s="37">
        <v>39</v>
      </c>
      <c r="E70" s="20" t="s">
        <v>13</v>
      </c>
      <c r="F70" s="36" t="s">
        <v>1</v>
      </c>
      <c r="G70" s="21">
        <v>4</v>
      </c>
      <c r="H70" s="21">
        <v>1</v>
      </c>
      <c r="I70" s="33">
        <v>1.3888888888888889E-3</v>
      </c>
      <c r="J70" s="20">
        <v>2</v>
      </c>
      <c r="K70" s="21"/>
      <c r="L70" s="34">
        <v>0.75</v>
      </c>
    </row>
    <row r="71" spans="1:12" x14ac:dyDescent="0.2">
      <c r="A71" s="39"/>
      <c r="B71" s="35">
        <f t="shared" si="5"/>
        <v>0.79722222222222083</v>
      </c>
      <c r="C71" s="29">
        <f t="shared" si="6"/>
        <v>6.9444444444444449E-3</v>
      </c>
      <c r="D71" s="37">
        <v>40</v>
      </c>
      <c r="E71" s="20" t="s">
        <v>38</v>
      </c>
      <c r="F71" s="36" t="s">
        <v>1</v>
      </c>
      <c r="G71" s="21">
        <v>5</v>
      </c>
      <c r="H71" s="21">
        <v>1</v>
      </c>
      <c r="I71" s="33">
        <v>1.3888888888888889E-3</v>
      </c>
      <c r="J71" s="20">
        <v>5</v>
      </c>
      <c r="K71" s="21"/>
      <c r="L71" s="34">
        <v>0.75</v>
      </c>
    </row>
    <row r="72" spans="1:12" ht="78.75" x14ac:dyDescent="0.2">
      <c r="A72" s="39"/>
      <c r="B72" s="35">
        <f t="shared" si="5"/>
        <v>0.80416666666666525</v>
      </c>
      <c r="C72" s="29">
        <f t="shared" si="6"/>
        <v>1.0416666666666666E-2</v>
      </c>
      <c r="D72" s="30"/>
      <c r="E72" s="40" t="s">
        <v>51</v>
      </c>
      <c r="F72" s="36" t="s">
        <v>9</v>
      </c>
      <c r="G72" s="21">
        <v>5</v>
      </c>
      <c r="H72" s="21">
        <v>1</v>
      </c>
      <c r="I72" s="33">
        <v>2.0833333333333333E-3</v>
      </c>
      <c r="J72" s="20"/>
      <c r="K72" s="21"/>
      <c r="L72" s="34"/>
    </row>
    <row r="73" spans="1:12" x14ac:dyDescent="0.2">
      <c r="A73" s="39"/>
      <c r="B73" s="35">
        <f t="shared" si="5"/>
        <v>0.81458333333333188</v>
      </c>
      <c r="C73" s="29">
        <f t="shared" si="6"/>
        <v>0</v>
      </c>
      <c r="D73" s="30"/>
      <c r="E73" s="20" t="s">
        <v>3</v>
      </c>
      <c r="F73" s="31"/>
      <c r="G73" s="21"/>
      <c r="H73" s="21"/>
      <c r="I73" s="33"/>
      <c r="J73" s="20"/>
      <c r="K73" s="21"/>
      <c r="L73" s="3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06B7-7ABC-4BB1-BD5C-BDED70947779}">
  <dimension ref="A1:D8"/>
  <sheetViews>
    <sheetView workbookViewId="0">
      <selection activeCell="A4" sqref="A4"/>
    </sheetView>
  </sheetViews>
  <sheetFormatPr defaultRowHeight="12.75" x14ac:dyDescent="0.2"/>
  <cols>
    <col min="1" max="1" width="28.42578125" bestFit="1" customWidth="1"/>
  </cols>
  <sheetData>
    <row r="1" spans="1:4" x14ac:dyDescent="0.2">
      <c r="A1" t="s">
        <v>60</v>
      </c>
      <c r="B1" t="s">
        <v>0</v>
      </c>
      <c r="C1" t="s">
        <v>61</v>
      </c>
      <c r="D1" t="s">
        <v>82</v>
      </c>
    </row>
    <row r="2" spans="1:4" x14ac:dyDescent="0.2">
      <c r="A2" t="s">
        <v>84</v>
      </c>
      <c r="B2">
        <v>2</v>
      </c>
      <c r="D2">
        <v>10</v>
      </c>
    </row>
    <row r="3" spans="1:4" x14ac:dyDescent="0.2">
      <c r="A3" t="s">
        <v>85</v>
      </c>
      <c r="B3">
        <v>4</v>
      </c>
      <c r="C3" t="s">
        <v>62</v>
      </c>
      <c r="D3">
        <v>16</v>
      </c>
    </row>
    <row r="4" spans="1:4" x14ac:dyDescent="0.2">
      <c r="A4" t="s">
        <v>83</v>
      </c>
      <c r="B4">
        <v>3</v>
      </c>
      <c r="C4" t="s">
        <v>62</v>
      </c>
      <c r="D4">
        <v>10</v>
      </c>
    </row>
    <row r="5" spans="1:4" x14ac:dyDescent="0.2">
      <c r="A5" t="s">
        <v>63</v>
      </c>
      <c r="B5" s="43">
        <v>0.17708333333333334</v>
      </c>
      <c r="D5">
        <v>12</v>
      </c>
    </row>
    <row r="6" spans="1:4" x14ac:dyDescent="0.2">
      <c r="A6" t="s">
        <v>64</v>
      </c>
      <c r="B6" s="43">
        <v>7.2222222222222215E-2</v>
      </c>
      <c r="D6">
        <v>7</v>
      </c>
    </row>
    <row r="7" spans="1:4" x14ac:dyDescent="0.2">
      <c r="A7" t="s">
        <v>65</v>
      </c>
      <c r="B7">
        <v>5</v>
      </c>
      <c r="C7" t="s">
        <v>66</v>
      </c>
    </row>
    <row r="8" spans="1:4" x14ac:dyDescent="0.2">
      <c r="D8">
        <f>SUM(D2:D7)</f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harmonogram</vt:lpstr>
      <vt:lpstr>List2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Leonid</cp:lastModifiedBy>
  <cp:lastPrinted>2025-12-18T09:29:44Z</cp:lastPrinted>
  <dcterms:created xsi:type="dcterms:W3CDTF">1997-01-24T11:07:25Z</dcterms:created>
  <dcterms:modified xsi:type="dcterms:W3CDTF">2026-03-08T21:58:06Z</dcterms:modified>
</cp:coreProperties>
</file>