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nce\souteže\2025_vanocni_malesice\"/>
    </mc:Choice>
  </mc:AlternateContent>
  <xr:revisionPtr revIDLastSave="0" documentId="13_ncr:1_{91FE0884-3613-4EE3-A2FD-431CFC79C8A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Officials" sheetId="1" r:id="rId1"/>
    <sheet name="Jud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8" i="2" l="1"/>
  <c r="AM12" i="2"/>
  <c r="AN12" i="2"/>
  <c r="AU28" i="2"/>
  <c r="AV28" i="2"/>
  <c r="AS29" i="2"/>
  <c r="AU29" i="2"/>
  <c r="AV29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O12" i="2"/>
  <c r="H12" i="2"/>
  <c r="F29" i="2"/>
  <c r="AQ29" i="2" s="1"/>
  <c r="F28" i="2"/>
  <c r="AQ28" i="2" s="1"/>
  <c r="F27" i="2"/>
  <c r="AQ27" i="2" s="1"/>
  <c r="D27" i="2"/>
  <c r="AU27" i="2" s="1"/>
  <c r="C27" i="2"/>
  <c r="AV27" i="2" s="1"/>
  <c r="A27" i="2"/>
  <c r="AS27" i="2" s="1"/>
  <c r="F26" i="2"/>
  <c r="AQ26" i="2" s="1"/>
  <c r="D26" i="2"/>
  <c r="AU26" i="2" s="1"/>
  <c r="C26" i="2"/>
  <c r="AV26" i="2" s="1"/>
  <c r="A26" i="2"/>
  <c r="AS26" i="2" s="1"/>
  <c r="F25" i="2"/>
  <c r="AQ25" i="2" s="1"/>
  <c r="D25" i="2"/>
  <c r="AU25" i="2" s="1"/>
  <c r="C25" i="2"/>
  <c r="AV25" i="2" s="1"/>
  <c r="A25" i="2"/>
  <c r="AS25" i="2" s="1"/>
  <c r="F24" i="2"/>
  <c r="AQ24" i="2" s="1"/>
  <c r="D24" i="2"/>
  <c r="AU24" i="2" s="1"/>
  <c r="C24" i="2"/>
  <c r="AV24" i="2" s="1"/>
  <c r="A24" i="2"/>
  <c r="AS24" i="2" s="1"/>
  <c r="F23" i="2"/>
  <c r="AQ23" i="2" s="1"/>
  <c r="D23" i="2"/>
  <c r="AU23" i="2" s="1"/>
  <c r="C23" i="2"/>
  <c r="AV23" i="2" s="1"/>
  <c r="A23" i="2"/>
  <c r="AS23" i="2" s="1"/>
  <c r="F22" i="2"/>
  <c r="AQ22" i="2" s="1"/>
  <c r="D22" i="2"/>
  <c r="AU22" i="2" s="1"/>
  <c r="C22" i="2"/>
  <c r="AV22" i="2" s="1"/>
  <c r="A22" i="2"/>
  <c r="AS22" i="2" s="1"/>
  <c r="F21" i="2"/>
  <c r="AQ21" i="2" s="1"/>
  <c r="D21" i="2"/>
  <c r="AU21" i="2" s="1"/>
  <c r="C21" i="2"/>
  <c r="AV21" i="2" s="1"/>
  <c r="A21" i="2"/>
  <c r="AS21" i="2" s="1"/>
  <c r="F20" i="2"/>
  <c r="AQ20" i="2" s="1"/>
  <c r="D20" i="2"/>
  <c r="AU20" i="2" s="1"/>
  <c r="C20" i="2"/>
  <c r="AV20" i="2" s="1"/>
  <c r="A20" i="2"/>
  <c r="AS20" i="2" s="1"/>
  <c r="F19" i="2"/>
  <c r="AQ19" i="2" s="1"/>
  <c r="D19" i="2"/>
  <c r="AU19" i="2" s="1"/>
  <c r="C19" i="2"/>
  <c r="AV19" i="2" s="1"/>
  <c r="A19" i="2"/>
  <c r="AS19" i="2" s="1"/>
  <c r="F18" i="2"/>
  <c r="AQ18" i="2" s="1"/>
  <c r="D18" i="2"/>
  <c r="AU18" i="2" s="1"/>
  <c r="C18" i="2"/>
  <c r="AV18" i="2" s="1"/>
  <c r="A18" i="2"/>
  <c r="AS18" i="2" s="1"/>
  <c r="F17" i="2"/>
  <c r="AQ17" i="2" s="1"/>
  <c r="D17" i="2"/>
  <c r="AU17" i="2" s="1"/>
  <c r="C17" i="2"/>
  <c r="AV17" i="2" s="1"/>
  <c r="A17" i="2"/>
  <c r="AS17" i="2" s="1"/>
  <c r="F16" i="2"/>
  <c r="AQ16" i="2" s="1"/>
  <c r="D16" i="2"/>
  <c r="AU16" i="2" s="1"/>
  <c r="C16" i="2"/>
  <c r="AV16" i="2" s="1"/>
  <c r="A16" i="2"/>
  <c r="AS16" i="2" s="1"/>
  <c r="F15" i="2"/>
  <c r="AQ15" i="2" s="1"/>
  <c r="D15" i="2"/>
  <c r="AU15" i="2" s="1"/>
  <c r="C15" i="2"/>
  <c r="AV15" i="2" s="1"/>
  <c r="A15" i="2"/>
  <c r="AS15" i="2" s="1"/>
  <c r="F14" i="2"/>
  <c r="AQ14" i="2" s="1"/>
  <c r="D14" i="2"/>
  <c r="AU14" i="2" s="1"/>
  <c r="C14" i="2"/>
  <c r="AV14" i="2" s="1"/>
  <c r="A14" i="2"/>
  <c r="AS14" i="2" s="1"/>
</calcChain>
</file>

<file path=xl/sharedStrings.xml><?xml version="1.0" encoding="utf-8"?>
<sst xmlns="http://schemas.openxmlformats.org/spreadsheetml/2006/main" count="403" uniqueCount="207">
  <si>
    <t>label</t>
  </si>
  <si>
    <t>id</t>
  </si>
  <si>
    <t>name</t>
  </si>
  <si>
    <t>surname</t>
  </si>
  <si>
    <t>name_surname</t>
  </si>
  <si>
    <t>surname_name</t>
  </si>
  <si>
    <t>country</t>
  </si>
  <si>
    <t>authority</t>
  </si>
  <si>
    <t>in_authority_id</t>
  </si>
  <si>
    <t>judge</t>
  </si>
  <si>
    <t>A</t>
  </si>
  <si>
    <t>csts.10650110</t>
  </si>
  <si>
    <t>Jan</t>
  </si>
  <si>
    <t>Blažek</t>
  </si>
  <si>
    <t>Jan Blažek</t>
  </si>
  <si>
    <t>Blažek Jan</t>
  </si>
  <si>
    <t>CZE</t>
  </si>
  <si>
    <t>csts</t>
  </si>
  <si>
    <t>10650110</t>
  </si>
  <si>
    <t>B</t>
  </si>
  <si>
    <t>csts.10202791</t>
  </si>
  <si>
    <t>Jindřich</t>
  </si>
  <si>
    <t>Činčura</t>
  </si>
  <si>
    <t>Jindřich Činčura</t>
  </si>
  <si>
    <t>Činčura Jindřich</t>
  </si>
  <si>
    <t>10202791</t>
  </si>
  <si>
    <t>C</t>
  </si>
  <si>
    <t>csts.10105887</t>
  </si>
  <si>
    <t>Vladimír</t>
  </si>
  <si>
    <t>Hána</t>
  </si>
  <si>
    <t>Vladimír Hána</t>
  </si>
  <si>
    <t>Hána Vladimír</t>
  </si>
  <si>
    <t>10105887</t>
  </si>
  <si>
    <t>D</t>
  </si>
  <si>
    <t>csts.10105917</t>
  </si>
  <si>
    <t>Oldřich</t>
  </si>
  <si>
    <t>Holý</t>
  </si>
  <si>
    <t>Oldřich Holý</t>
  </si>
  <si>
    <t>Holý Oldřich</t>
  </si>
  <si>
    <t>10105917</t>
  </si>
  <si>
    <t>E</t>
  </si>
  <si>
    <t>csts.10105948</t>
  </si>
  <si>
    <t>Jadlovský</t>
  </si>
  <si>
    <t>Jan Jadlovský</t>
  </si>
  <si>
    <t>Jadlovský Jan</t>
  </si>
  <si>
    <t>10105948</t>
  </si>
  <si>
    <t>F</t>
  </si>
  <si>
    <t>csts.10622308</t>
  </si>
  <si>
    <t>Kristýna</t>
  </si>
  <si>
    <t>Mücková</t>
  </si>
  <si>
    <t>Kristýna Mücková</t>
  </si>
  <si>
    <t>Mücková Kristýna</t>
  </si>
  <si>
    <t>10622308</t>
  </si>
  <si>
    <t>G</t>
  </si>
  <si>
    <t>csts.10200742</t>
  </si>
  <si>
    <t>Jiří</t>
  </si>
  <si>
    <t>Pixa</t>
  </si>
  <si>
    <t>Jiří Pixa</t>
  </si>
  <si>
    <t>Pixa Jiří</t>
  </si>
  <si>
    <t>10200742</t>
  </si>
  <si>
    <t>H</t>
  </si>
  <si>
    <t>csts.10644232</t>
  </si>
  <si>
    <t>Veronika</t>
  </si>
  <si>
    <t>Sedlecká</t>
  </si>
  <si>
    <t>Veronika Sedlecká</t>
  </si>
  <si>
    <t>Sedlecká Veronika</t>
  </si>
  <si>
    <t>10644232</t>
  </si>
  <si>
    <t>I</t>
  </si>
  <si>
    <t>csts.10658925</t>
  </si>
  <si>
    <t>Jan Carlos</t>
  </si>
  <si>
    <t>Sekera</t>
  </si>
  <si>
    <t>Jan Carlos Sekera</t>
  </si>
  <si>
    <t>Sekera Jan Carlos</t>
  </si>
  <si>
    <t>10658925</t>
  </si>
  <si>
    <t>J</t>
  </si>
  <si>
    <t>csts.10628638</t>
  </si>
  <si>
    <t>Jakub</t>
  </si>
  <si>
    <t>Schuller</t>
  </si>
  <si>
    <t>Jakub Schuller</t>
  </si>
  <si>
    <t>Schuller Jakub</t>
  </si>
  <si>
    <t>10628638</t>
  </si>
  <si>
    <t>K</t>
  </si>
  <si>
    <t>csts.10236987</t>
  </si>
  <si>
    <t>Kateřina</t>
  </si>
  <si>
    <t>Šebková</t>
  </si>
  <si>
    <t>Kateřina Šebková</t>
  </si>
  <si>
    <t>Šebková Kateřina</t>
  </si>
  <si>
    <t>10236987</t>
  </si>
  <si>
    <t>L</t>
  </si>
  <si>
    <t>csts.10306413</t>
  </si>
  <si>
    <t>Andrea</t>
  </si>
  <si>
    <t>Třeštiková</t>
  </si>
  <si>
    <t>Andrea Třeštiková</t>
  </si>
  <si>
    <t>Třeštiková Andrea</t>
  </si>
  <si>
    <t>10306413</t>
  </si>
  <si>
    <t>M</t>
  </si>
  <si>
    <t>csts.10210802</t>
  </si>
  <si>
    <t>Michal</t>
  </si>
  <si>
    <t>Varnuška</t>
  </si>
  <si>
    <t>Michal Varnuška</t>
  </si>
  <si>
    <t>Varnuška Michal</t>
  </si>
  <si>
    <t>10210802</t>
  </si>
  <si>
    <t>N</t>
  </si>
  <si>
    <t>csts.10211427</t>
  </si>
  <si>
    <t>David</t>
  </si>
  <si>
    <t>Vejchar</t>
  </si>
  <si>
    <t>David Vejchar</t>
  </si>
  <si>
    <t>Vejchar David</t>
  </si>
  <si>
    <t>10211427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</si>
  <si>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</si>
  <si>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</si>
  <si>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</si>
  <si>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</si>
  <si>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</si>
  <si>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</si>
  <si>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</si>
  <si>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</si>
  <si>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</si>
  <si>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</si>
  <si>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</si>
  <si>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</si>
  <si>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</si>
  <si>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</si>
  <si>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</si>
  <si>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</si>
  <si>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</si>
  <si>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</si>
  <si>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</si>
  <si>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</si>
  <si>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</si>
  <si>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</si>
  <si>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</si>
  <si>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</si>
  <si>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</si>
  <si>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</si>
  <si>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</si>
  <si>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</si>
  <si>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</si>
  <si>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</si>
  <si>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</si>
  <si>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</si>
  <si>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ranking</t>
  </si>
  <si>
    <t>sport</t>
  </si>
  <si>
    <t>tpv</t>
  </si>
  <si>
    <t>juv-ii</t>
  </si>
  <si>
    <t>jun-i</t>
  </si>
  <si>
    <t>jun-ii</t>
  </si>
  <si>
    <t>y</t>
  </si>
  <si>
    <t>a</t>
  </si>
  <si>
    <t>u-8</t>
  </si>
  <si>
    <t>juv-i</t>
  </si>
  <si>
    <t>juv</t>
  </si>
  <si>
    <t>jun</t>
  </si>
  <si>
    <t>e</t>
  </si>
  <si>
    <t>d</t>
  </si>
  <si>
    <t>c</t>
  </si>
  <si>
    <t>b</t>
  </si>
  <si>
    <t>n</t>
  </si>
  <si>
    <t>br</t>
  </si>
  <si>
    <t>s</t>
  </si>
  <si>
    <t>couple</t>
  </si>
  <si>
    <t>solo</t>
  </si>
  <si>
    <t>duo</t>
  </si>
  <si>
    <t>stt+lat</t>
  </si>
  <si>
    <t>stt</t>
  </si>
  <si>
    <t>lat</t>
  </si>
  <si>
    <t>Děti-II E KOMB</t>
  </si>
  <si>
    <t>Děti-II D STT</t>
  </si>
  <si>
    <t>Děti-II D LAT</t>
  </si>
  <si>
    <t>Jun-I D STT</t>
  </si>
  <si>
    <t>Jun-I D LAT</t>
  </si>
  <si>
    <t>Jun-I C STT</t>
  </si>
  <si>
    <t>Jun-I C LAT</t>
  </si>
  <si>
    <t>Jun-II D STT</t>
  </si>
  <si>
    <t>Jun-II D LAT</t>
  </si>
  <si>
    <t>Jun-II C STT</t>
  </si>
  <si>
    <t>Jun-II C LAT</t>
  </si>
  <si>
    <t>Jun-II B STT</t>
  </si>
  <si>
    <t>Jun-II B LAT</t>
  </si>
  <si>
    <t>Mládež B STT</t>
  </si>
  <si>
    <t>Dospělí E STT</t>
  </si>
  <si>
    <t>Dospělí E LAT</t>
  </si>
  <si>
    <t>Dospělí D STT</t>
  </si>
  <si>
    <t>TPV Do 8 let N Solo KOMB</t>
  </si>
  <si>
    <t>TPV Děti-I N Solo KOMB</t>
  </si>
  <si>
    <t>TPV Děti-I Br Solo STT</t>
  </si>
  <si>
    <t>TPV Děti-I Br Solo LAT</t>
  </si>
  <si>
    <t>TPV Děti-II N Solo KOMB</t>
  </si>
  <si>
    <t>TPV Děti-II Br Solo STT</t>
  </si>
  <si>
    <t>TPV Děti-II Br Solo LAT</t>
  </si>
  <si>
    <t>TPV Děti Br Duo LAT</t>
  </si>
  <si>
    <t>TPV Jun-I S Solo STT</t>
  </si>
  <si>
    <t>TPV Jun-I S Solo LAT</t>
  </si>
  <si>
    <t>TPV Jun-II Br Solo STT</t>
  </si>
  <si>
    <t>TPV Jun-II Br Solo LAT</t>
  </si>
  <si>
    <t>TPV Jun-II S Solo STT</t>
  </si>
  <si>
    <t>TPV Jun-II S Solo LAT</t>
  </si>
  <si>
    <t>TPV Jun Br Duo LAT</t>
  </si>
  <si>
    <t>Hána ml.</t>
  </si>
  <si>
    <t>Kučvová</t>
  </si>
  <si>
    <t>Barbora</t>
  </si>
  <si>
    <t>MZ Polka cup páry</t>
  </si>
  <si>
    <t>MZ Polka Cup sólo</t>
  </si>
  <si>
    <t>#101</t>
  </si>
  <si>
    <t>O</t>
  </si>
  <si>
    <t>P</t>
  </si>
  <si>
    <t>#102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</si>
</sst>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textRotation="90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/>
  </sheetViews>
  <sheetFormatPr defaultRowHeight="14.5" x14ac:dyDescent="0.35"/>
  <cols>
    <col min="1" max="1" width="5.81640625" customWidth="1"/>
    <col min="2" max="2" width="12.81640625" customWidth="1"/>
    <col min="3" max="4" width="15.81640625" customWidth="1"/>
    <col min="5" max="6" width="20.81640625" customWidth="1"/>
    <col min="7" max="7" width="3.81640625" customWidth="1"/>
    <col min="8" max="8" width="5.81640625" customWidth="1"/>
    <col min="9" max="9" width="8.81640625" customWidth="1"/>
    <col min="10" max="11" width="5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9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>
        <v>1</v>
      </c>
    </row>
    <row r="3" spans="1:11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25</v>
      </c>
      <c r="K3">
        <v>1</v>
      </c>
    </row>
    <row r="4" spans="1:11" x14ac:dyDescent="0.3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17</v>
      </c>
      <c r="I4" t="s">
        <v>32</v>
      </c>
      <c r="K4">
        <v>1</v>
      </c>
    </row>
    <row r="5" spans="1:11" x14ac:dyDescent="0.3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16</v>
      </c>
      <c r="H5" t="s">
        <v>17</v>
      </c>
      <c r="I5" t="s">
        <v>39</v>
      </c>
      <c r="K5">
        <v>1</v>
      </c>
    </row>
    <row r="6" spans="1:11" x14ac:dyDescent="0.35">
      <c r="A6" t="s">
        <v>40</v>
      </c>
      <c r="B6" t="s">
        <v>41</v>
      </c>
      <c r="C6" t="s">
        <v>12</v>
      </c>
      <c r="D6" t="s">
        <v>42</v>
      </c>
      <c r="E6" t="s">
        <v>43</v>
      </c>
      <c r="F6" t="s">
        <v>44</v>
      </c>
      <c r="G6" t="s">
        <v>16</v>
      </c>
      <c r="H6" t="s">
        <v>17</v>
      </c>
      <c r="I6" t="s">
        <v>45</v>
      </c>
      <c r="K6">
        <v>1</v>
      </c>
    </row>
    <row r="7" spans="1:11" x14ac:dyDescent="0.3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16</v>
      </c>
      <c r="H7" t="s">
        <v>17</v>
      </c>
      <c r="I7" t="s">
        <v>52</v>
      </c>
      <c r="K7">
        <v>1</v>
      </c>
    </row>
    <row r="8" spans="1:11" x14ac:dyDescent="0.3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16</v>
      </c>
      <c r="H8" t="s">
        <v>17</v>
      </c>
      <c r="I8" t="s">
        <v>59</v>
      </c>
      <c r="K8">
        <v>1</v>
      </c>
    </row>
    <row r="9" spans="1:11" x14ac:dyDescent="0.3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16</v>
      </c>
      <c r="H9" t="s">
        <v>17</v>
      </c>
      <c r="I9" t="s">
        <v>66</v>
      </c>
      <c r="K9">
        <v>1</v>
      </c>
    </row>
    <row r="10" spans="1:11" x14ac:dyDescent="0.3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16</v>
      </c>
      <c r="H10" t="s">
        <v>17</v>
      </c>
      <c r="I10" t="s">
        <v>73</v>
      </c>
      <c r="K10">
        <v>1</v>
      </c>
    </row>
    <row r="11" spans="1:11" x14ac:dyDescent="0.3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16</v>
      </c>
      <c r="H11" t="s">
        <v>17</v>
      </c>
      <c r="I11" t="s">
        <v>80</v>
      </c>
      <c r="K11">
        <v>1</v>
      </c>
    </row>
    <row r="12" spans="1:11" x14ac:dyDescent="0.3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16</v>
      </c>
      <c r="H12" t="s">
        <v>17</v>
      </c>
      <c r="I12" t="s">
        <v>87</v>
      </c>
      <c r="K12">
        <v>1</v>
      </c>
    </row>
    <row r="13" spans="1:11" x14ac:dyDescent="0.3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16</v>
      </c>
      <c r="H13" t="s">
        <v>17</v>
      </c>
      <c r="I13" t="s">
        <v>94</v>
      </c>
      <c r="K13">
        <v>1</v>
      </c>
    </row>
    <row r="14" spans="1:11" x14ac:dyDescent="0.3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16</v>
      </c>
      <c r="H14" t="s">
        <v>17</v>
      </c>
      <c r="I14" t="s">
        <v>101</v>
      </c>
      <c r="K14">
        <v>1</v>
      </c>
    </row>
    <row r="15" spans="1:11" x14ac:dyDescent="0.35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16</v>
      </c>
      <c r="H15" t="s">
        <v>17</v>
      </c>
      <c r="I15" t="s">
        <v>108</v>
      </c>
      <c r="K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9"/>
  <sheetViews>
    <sheetView tabSelected="1" topLeftCell="F10" workbookViewId="0">
      <selection activeCell="W20" sqref="W20"/>
    </sheetView>
  </sheetViews>
  <sheetFormatPr defaultRowHeight="14.5" x14ac:dyDescent="0.35"/>
  <cols>
    <col min="1" max="1" width="4.81640625" customWidth="1"/>
    <col min="2" max="2" width="1.81640625" customWidth="1"/>
    <col min="3" max="4" width="15.81640625" customWidth="1"/>
    <col min="5" max="5" width="1.81640625" customWidth="1"/>
    <col min="6" max="6" width="5.81640625" customWidth="1"/>
    <col min="7" max="7" width="1.81640625" customWidth="1"/>
    <col min="8" max="41" width="3.81640625" customWidth="1"/>
    <col min="42" max="42" width="1.81640625" customWidth="1"/>
    <col min="43" max="43" width="5.81640625" customWidth="1"/>
    <col min="44" max="44" width="1.81640625" customWidth="1"/>
    <col min="45" max="45" width="4.81640625" customWidth="1"/>
    <col min="46" max="46" width="1.81640625" customWidth="1"/>
    <col min="47" max="48" width="15.81640625" customWidth="1"/>
  </cols>
  <sheetData>
    <row r="1" spans="1:48" s="6" customFormat="1" x14ac:dyDescent="0.35">
      <c r="A1" s="6" t="s">
        <v>0</v>
      </c>
      <c r="H1" s="6" t="s">
        <v>109</v>
      </c>
      <c r="I1" s="6" t="s">
        <v>110</v>
      </c>
      <c r="J1" s="6" t="s">
        <v>111</v>
      </c>
      <c r="K1" s="6" t="s">
        <v>112</v>
      </c>
      <c r="L1" s="6" t="s">
        <v>113</v>
      </c>
      <c r="M1" s="6" t="s">
        <v>114</v>
      </c>
      <c r="N1" s="6" t="s">
        <v>115</v>
      </c>
      <c r="O1" s="6" t="s">
        <v>116</v>
      </c>
      <c r="P1" s="6" t="s">
        <v>117</v>
      </c>
      <c r="Q1" s="6" t="s">
        <v>118</v>
      </c>
      <c r="R1" s="6" t="s">
        <v>119</v>
      </c>
      <c r="S1" s="6" t="s">
        <v>120</v>
      </c>
      <c r="T1" s="6" t="s">
        <v>121</v>
      </c>
      <c r="U1" s="6" t="s">
        <v>122</v>
      </c>
      <c r="V1" s="6" t="s">
        <v>123</v>
      </c>
      <c r="W1" s="6" t="s">
        <v>124</v>
      </c>
      <c r="X1" s="6" t="s">
        <v>125</v>
      </c>
      <c r="Y1" s="6" t="s">
        <v>126</v>
      </c>
      <c r="Z1" s="6" t="s">
        <v>127</v>
      </c>
      <c r="AA1" s="6" t="s">
        <v>128</v>
      </c>
      <c r="AB1" s="6" t="s">
        <v>129</v>
      </c>
      <c r="AC1" s="6" t="s">
        <v>130</v>
      </c>
      <c r="AD1" s="6" t="s">
        <v>131</v>
      </c>
      <c r="AE1" s="6" t="s">
        <v>132</v>
      </c>
      <c r="AF1" s="6" t="s">
        <v>133</v>
      </c>
      <c r="AG1" s="6" t="s">
        <v>134</v>
      </c>
      <c r="AH1" s="6" t="s">
        <v>135</v>
      </c>
      <c r="AI1" s="6" t="s">
        <v>136</v>
      </c>
      <c r="AJ1" s="6" t="s">
        <v>137</v>
      </c>
      <c r="AK1" s="6" t="s">
        <v>138</v>
      </c>
      <c r="AL1" s="6" t="s">
        <v>139</v>
      </c>
      <c r="AM1" s="6" t="s">
        <v>140</v>
      </c>
      <c r="AN1" s="6" t="s">
        <v>203</v>
      </c>
      <c r="AO1" s="6" t="s">
        <v>206</v>
      </c>
    </row>
    <row r="2" spans="1:48" hidden="1" x14ac:dyDescent="0.35">
      <c r="H2" t="s">
        <v>141</v>
      </c>
      <c r="I2" t="s">
        <v>141</v>
      </c>
      <c r="J2" t="s">
        <v>141</v>
      </c>
      <c r="K2" t="s">
        <v>141</v>
      </c>
      <c r="L2" t="s">
        <v>141</v>
      </c>
      <c r="M2" t="s">
        <v>141</v>
      </c>
      <c r="N2" t="s">
        <v>141</v>
      </c>
      <c r="O2" t="s">
        <v>141</v>
      </c>
      <c r="P2" t="s">
        <v>141</v>
      </c>
      <c r="Q2" t="s">
        <v>141</v>
      </c>
      <c r="R2" t="s">
        <v>141</v>
      </c>
      <c r="S2" t="s">
        <v>141</v>
      </c>
      <c r="T2" t="s">
        <v>141</v>
      </c>
      <c r="U2" t="s">
        <v>141</v>
      </c>
      <c r="V2" t="s">
        <v>141</v>
      </c>
      <c r="W2" t="s">
        <v>141</v>
      </c>
      <c r="X2" t="s">
        <v>141</v>
      </c>
      <c r="Y2" t="s">
        <v>141</v>
      </c>
      <c r="Z2" t="s">
        <v>141</v>
      </c>
      <c r="AA2" t="s">
        <v>141</v>
      </c>
      <c r="AB2" t="s">
        <v>141</v>
      </c>
      <c r="AC2" t="s">
        <v>141</v>
      </c>
      <c r="AD2" t="s">
        <v>141</v>
      </c>
      <c r="AE2" t="s">
        <v>141</v>
      </c>
      <c r="AF2" t="s">
        <v>141</v>
      </c>
      <c r="AG2" t="s">
        <v>141</v>
      </c>
      <c r="AH2" t="s">
        <v>141</v>
      </c>
      <c r="AI2" t="s">
        <v>141</v>
      </c>
      <c r="AJ2" t="s">
        <v>141</v>
      </c>
      <c r="AK2" t="s">
        <v>141</v>
      </c>
      <c r="AL2" t="s">
        <v>141</v>
      </c>
      <c r="AO2" t="s">
        <v>141</v>
      </c>
    </row>
    <row r="3" spans="1:48" hidden="1" x14ac:dyDescent="0.35"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142</v>
      </c>
      <c r="X3" t="s">
        <v>142</v>
      </c>
      <c r="Y3" t="s">
        <v>143</v>
      </c>
      <c r="Z3" t="s">
        <v>143</v>
      </c>
      <c r="AA3" t="s">
        <v>143</v>
      </c>
      <c r="AB3" t="s">
        <v>143</v>
      </c>
      <c r="AC3" t="s">
        <v>143</v>
      </c>
      <c r="AD3" t="s">
        <v>143</v>
      </c>
      <c r="AE3" t="s">
        <v>143</v>
      </c>
      <c r="AF3" t="s">
        <v>143</v>
      </c>
      <c r="AG3" t="s">
        <v>143</v>
      </c>
      <c r="AH3" t="s">
        <v>143</v>
      </c>
      <c r="AI3" t="s">
        <v>143</v>
      </c>
      <c r="AJ3" t="s">
        <v>143</v>
      </c>
      <c r="AK3" t="s">
        <v>143</v>
      </c>
      <c r="AL3" t="s">
        <v>143</v>
      </c>
      <c r="AO3" t="s">
        <v>143</v>
      </c>
    </row>
    <row r="4" spans="1:48" hidden="1" x14ac:dyDescent="0.35">
      <c r="H4" t="s">
        <v>144</v>
      </c>
      <c r="I4" t="s">
        <v>144</v>
      </c>
      <c r="J4" t="s">
        <v>144</v>
      </c>
      <c r="K4" t="s">
        <v>145</v>
      </c>
      <c r="L4" t="s">
        <v>145</v>
      </c>
      <c r="M4" t="s">
        <v>145</v>
      </c>
      <c r="N4" t="s">
        <v>145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147</v>
      </c>
      <c r="V4" t="s">
        <v>148</v>
      </c>
      <c r="W4" t="s">
        <v>148</v>
      </c>
      <c r="X4" t="s">
        <v>148</v>
      </c>
      <c r="Y4" t="s">
        <v>149</v>
      </c>
      <c r="Z4" t="s">
        <v>150</v>
      </c>
      <c r="AA4" t="s">
        <v>150</v>
      </c>
      <c r="AB4" t="s">
        <v>150</v>
      </c>
      <c r="AC4" t="s">
        <v>144</v>
      </c>
      <c r="AD4" t="s">
        <v>144</v>
      </c>
      <c r="AE4" t="s">
        <v>144</v>
      </c>
      <c r="AF4" t="s">
        <v>151</v>
      </c>
      <c r="AG4" t="s">
        <v>145</v>
      </c>
      <c r="AH4" t="s">
        <v>145</v>
      </c>
      <c r="AI4" t="s">
        <v>146</v>
      </c>
      <c r="AJ4" t="s">
        <v>146</v>
      </c>
      <c r="AK4" t="s">
        <v>146</v>
      </c>
      <c r="AL4" t="s">
        <v>146</v>
      </c>
      <c r="AO4" t="s">
        <v>152</v>
      </c>
    </row>
    <row r="5" spans="1:48" hidden="1" x14ac:dyDescent="0.35">
      <c r="H5" t="s">
        <v>153</v>
      </c>
      <c r="I5" t="s">
        <v>154</v>
      </c>
      <c r="J5" t="s">
        <v>154</v>
      </c>
      <c r="K5" t="s">
        <v>154</v>
      </c>
      <c r="L5" t="s">
        <v>154</v>
      </c>
      <c r="M5" t="s">
        <v>155</v>
      </c>
      <c r="N5" t="s">
        <v>155</v>
      </c>
      <c r="O5" t="s">
        <v>154</v>
      </c>
      <c r="P5" t="s">
        <v>154</v>
      </c>
      <c r="Q5" t="s">
        <v>155</v>
      </c>
      <c r="R5" t="s">
        <v>155</v>
      </c>
      <c r="S5" t="s">
        <v>156</v>
      </c>
      <c r="T5" t="s">
        <v>156</v>
      </c>
      <c r="U5" t="s">
        <v>156</v>
      </c>
      <c r="V5" t="s">
        <v>153</v>
      </c>
      <c r="W5" t="s">
        <v>153</v>
      </c>
      <c r="X5" t="s">
        <v>154</v>
      </c>
      <c r="Y5" t="s">
        <v>157</v>
      </c>
      <c r="Z5" t="s">
        <v>157</v>
      </c>
      <c r="AA5" t="s">
        <v>158</v>
      </c>
      <c r="AB5" t="s">
        <v>158</v>
      </c>
      <c r="AC5" t="s">
        <v>157</v>
      </c>
      <c r="AD5" t="s">
        <v>158</v>
      </c>
      <c r="AE5" t="s">
        <v>158</v>
      </c>
      <c r="AF5" t="s">
        <v>158</v>
      </c>
      <c r="AG5" t="s">
        <v>159</v>
      </c>
      <c r="AH5" t="s">
        <v>159</v>
      </c>
      <c r="AI5" t="s">
        <v>158</v>
      </c>
      <c r="AJ5" t="s">
        <v>158</v>
      </c>
      <c r="AK5" t="s">
        <v>159</v>
      </c>
      <c r="AL5" t="s">
        <v>159</v>
      </c>
      <c r="AO5" t="s">
        <v>158</v>
      </c>
    </row>
    <row r="6" spans="1:48" hidden="1" x14ac:dyDescent="0.35"/>
    <row r="7" spans="1:48" hidden="1" x14ac:dyDescent="0.35">
      <c r="H7" t="s">
        <v>160</v>
      </c>
      <c r="I7" t="s">
        <v>160</v>
      </c>
      <c r="J7" t="s">
        <v>160</v>
      </c>
      <c r="K7" t="s">
        <v>160</v>
      </c>
      <c r="L7" t="s">
        <v>160</v>
      </c>
      <c r="M7" t="s">
        <v>160</v>
      </c>
      <c r="N7" t="s">
        <v>160</v>
      </c>
      <c r="O7" t="s">
        <v>160</v>
      </c>
      <c r="P7" t="s">
        <v>160</v>
      </c>
      <c r="Q7" t="s">
        <v>160</v>
      </c>
      <c r="R7" t="s">
        <v>160</v>
      </c>
      <c r="S7" t="s">
        <v>160</v>
      </c>
      <c r="T7" t="s">
        <v>160</v>
      </c>
      <c r="U7" t="s">
        <v>160</v>
      </c>
      <c r="V7" t="s">
        <v>160</v>
      </c>
      <c r="W7" t="s">
        <v>160</v>
      </c>
      <c r="X7" t="s">
        <v>160</v>
      </c>
      <c r="Y7" t="s">
        <v>161</v>
      </c>
      <c r="Z7" t="s">
        <v>161</v>
      </c>
      <c r="AA7" t="s">
        <v>161</v>
      </c>
      <c r="AB7" t="s">
        <v>161</v>
      </c>
      <c r="AC7" t="s">
        <v>161</v>
      </c>
      <c r="AD7" t="s">
        <v>161</v>
      </c>
      <c r="AE7" t="s">
        <v>161</v>
      </c>
      <c r="AF7" t="s">
        <v>162</v>
      </c>
      <c r="AG7" t="s">
        <v>161</v>
      </c>
      <c r="AH7" t="s">
        <v>161</v>
      </c>
      <c r="AI7" t="s">
        <v>161</v>
      </c>
      <c r="AJ7" t="s">
        <v>161</v>
      </c>
      <c r="AK7" t="s">
        <v>161</v>
      </c>
      <c r="AL7" t="s">
        <v>161</v>
      </c>
      <c r="AO7" t="s">
        <v>162</v>
      </c>
    </row>
    <row r="8" spans="1:48" hidden="1" x14ac:dyDescent="0.35">
      <c r="H8" t="s">
        <v>163</v>
      </c>
      <c r="I8" t="s">
        <v>164</v>
      </c>
      <c r="J8" t="s">
        <v>165</v>
      </c>
      <c r="K8" t="s">
        <v>164</v>
      </c>
      <c r="L8" t="s">
        <v>165</v>
      </c>
      <c r="M8" t="s">
        <v>164</v>
      </c>
      <c r="N8" t="s">
        <v>165</v>
      </c>
      <c r="O8" t="s">
        <v>164</v>
      </c>
      <c r="P8" t="s">
        <v>165</v>
      </c>
      <c r="Q8" t="s">
        <v>164</v>
      </c>
      <c r="R8" t="s">
        <v>165</v>
      </c>
      <c r="S8" t="s">
        <v>164</v>
      </c>
      <c r="T8" t="s">
        <v>165</v>
      </c>
      <c r="U8" t="s">
        <v>164</v>
      </c>
      <c r="V8" t="s">
        <v>164</v>
      </c>
      <c r="W8" t="s">
        <v>165</v>
      </c>
      <c r="X8" t="s">
        <v>164</v>
      </c>
      <c r="Y8" t="s">
        <v>163</v>
      </c>
      <c r="Z8" t="s">
        <v>163</v>
      </c>
      <c r="AA8" t="s">
        <v>164</v>
      </c>
      <c r="AB8" t="s">
        <v>165</v>
      </c>
      <c r="AC8" t="s">
        <v>163</v>
      </c>
      <c r="AD8" t="s">
        <v>164</v>
      </c>
      <c r="AE8" t="s">
        <v>165</v>
      </c>
      <c r="AF8" t="s">
        <v>165</v>
      </c>
      <c r="AG8" t="s">
        <v>164</v>
      </c>
      <c r="AH8" t="s">
        <v>165</v>
      </c>
      <c r="AI8" t="s">
        <v>164</v>
      </c>
      <c r="AJ8" t="s">
        <v>165</v>
      </c>
      <c r="AK8" t="s">
        <v>164</v>
      </c>
      <c r="AL8" t="s">
        <v>165</v>
      </c>
      <c r="AO8" t="s">
        <v>165</v>
      </c>
    </row>
    <row r="9" spans="1:48" hidden="1" x14ac:dyDescent="0.35"/>
    <row r="10" spans="1:48" ht="123" x14ac:dyDescent="0.35">
      <c r="H10" s="1" t="s">
        <v>166</v>
      </c>
      <c r="I10" s="1" t="s">
        <v>167</v>
      </c>
      <c r="J10" s="1" t="s">
        <v>168</v>
      </c>
      <c r="K10" s="1" t="s">
        <v>169</v>
      </c>
      <c r="L10" s="1" t="s">
        <v>170</v>
      </c>
      <c r="M10" s="1" t="s">
        <v>171</v>
      </c>
      <c r="N10" s="1" t="s">
        <v>172</v>
      </c>
      <c r="O10" s="1" t="s">
        <v>173</v>
      </c>
      <c r="P10" s="1" t="s">
        <v>174</v>
      </c>
      <c r="Q10" s="1" t="s">
        <v>175</v>
      </c>
      <c r="R10" s="1" t="s">
        <v>176</v>
      </c>
      <c r="S10" s="1" t="s">
        <v>177</v>
      </c>
      <c r="T10" s="1" t="s">
        <v>178</v>
      </c>
      <c r="U10" s="1" t="s">
        <v>179</v>
      </c>
      <c r="V10" s="1" t="s">
        <v>180</v>
      </c>
      <c r="W10" s="1" t="s">
        <v>181</v>
      </c>
      <c r="X10" s="1" t="s">
        <v>182</v>
      </c>
      <c r="Y10" s="1" t="s">
        <v>183</v>
      </c>
      <c r="Z10" s="1" t="s">
        <v>184</v>
      </c>
      <c r="AA10" s="1" t="s">
        <v>185</v>
      </c>
      <c r="AB10" s="1" t="s">
        <v>186</v>
      </c>
      <c r="AC10" s="1" t="s">
        <v>187</v>
      </c>
      <c r="AD10" s="1" t="s">
        <v>188</v>
      </c>
      <c r="AE10" s="1" t="s">
        <v>189</v>
      </c>
      <c r="AF10" s="1" t="s">
        <v>190</v>
      </c>
      <c r="AG10" s="1" t="s">
        <v>191</v>
      </c>
      <c r="AH10" s="1" t="s">
        <v>192</v>
      </c>
      <c r="AI10" s="1" t="s">
        <v>193</v>
      </c>
      <c r="AJ10" s="1" t="s">
        <v>194</v>
      </c>
      <c r="AK10" s="1" t="s">
        <v>195</v>
      </c>
      <c r="AL10" s="1" t="s">
        <v>196</v>
      </c>
      <c r="AM10" s="1" t="s">
        <v>197</v>
      </c>
      <c r="AN10" s="1" t="s">
        <v>202</v>
      </c>
      <c r="AO10" s="1" t="s">
        <v>201</v>
      </c>
    </row>
    <row r="11" spans="1:48" ht="9" customHeight="1" x14ac:dyDescent="0.35"/>
    <row r="12" spans="1:48" x14ac:dyDescent="0.35">
      <c r="H12" s="2">
        <f>SUM(H14:H29)</f>
        <v>7</v>
      </c>
      <c r="I12" s="2">
        <f t="shared" ref="I12:AO12" si="0">SUM(I14:I29)</f>
        <v>7</v>
      </c>
      <c r="J12" s="2">
        <f t="shared" si="0"/>
        <v>7</v>
      </c>
      <c r="K12" s="2">
        <f t="shared" si="0"/>
        <v>7</v>
      </c>
      <c r="L12" s="2">
        <f t="shared" si="0"/>
        <v>7</v>
      </c>
      <c r="M12" s="2">
        <f t="shared" si="0"/>
        <v>7</v>
      </c>
      <c r="N12" s="2">
        <f t="shared" si="0"/>
        <v>7</v>
      </c>
      <c r="O12" s="2">
        <f t="shared" si="0"/>
        <v>7</v>
      </c>
      <c r="P12" s="2">
        <f t="shared" si="0"/>
        <v>7</v>
      </c>
      <c r="Q12" s="2">
        <f t="shared" si="0"/>
        <v>7</v>
      </c>
      <c r="R12" s="2">
        <f t="shared" si="0"/>
        <v>7</v>
      </c>
      <c r="S12" s="2">
        <f t="shared" si="0"/>
        <v>7</v>
      </c>
      <c r="T12" s="2">
        <f t="shared" si="0"/>
        <v>7</v>
      </c>
      <c r="U12" s="2">
        <f t="shared" si="0"/>
        <v>7</v>
      </c>
      <c r="V12" s="2">
        <f t="shared" si="0"/>
        <v>7</v>
      </c>
      <c r="W12" s="2">
        <f t="shared" si="0"/>
        <v>7</v>
      </c>
      <c r="X12" s="2">
        <f t="shared" si="0"/>
        <v>7</v>
      </c>
      <c r="Y12" s="2">
        <f t="shared" si="0"/>
        <v>5</v>
      </c>
      <c r="Z12" s="2">
        <f t="shared" si="0"/>
        <v>5</v>
      </c>
      <c r="AA12" s="2">
        <f t="shared" si="0"/>
        <v>5</v>
      </c>
      <c r="AB12" s="2">
        <f t="shared" si="0"/>
        <v>5</v>
      </c>
      <c r="AC12" s="2">
        <f t="shared" si="0"/>
        <v>5</v>
      </c>
      <c r="AD12" s="2">
        <f t="shared" si="0"/>
        <v>5</v>
      </c>
      <c r="AE12" s="2">
        <f t="shared" si="0"/>
        <v>5</v>
      </c>
      <c r="AF12" s="2">
        <f t="shared" si="0"/>
        <v>5</v>
      </c>
      <c r="AG12" s="2">
        <f t="shared" si="0"/>
        <v>5</v>
      </c>
      <c r="AH12" s="2">
        <f t="shared" si="0"/>
        <v>5</v>
      </c>
      <c r="AI12" s="2">
        <f t="shared" si="0"/>
        <v>5</v>
      </c>
      <c r="AJ12" s="2">
        <f t="shared" si="0"/>
        <v>5</v>
      </c>
      <c r="AK12" s="2">
        <f t="shared" si="0"/>
        <v>5</v>
      </c>
      <c r="AL12" s="2">
        <f t="shared" si="0"/>
        <v>5</v>
      </c>
      <c r="AM12" s="2">
        <f t="shared" si="0"/>
        <v>5</v>
      </c>
      <c r="AN12" s="2">
        <f t="shared" si="0"/>
        <v>5</v>
      </c>
      <c r="AO12" s="2">
        <f t="shared" si="0"/>
        <v>5</v>
      </c>
    </row>
    <row r="13" spans="1:48" ht="9" customHeight="1" x14ac:dyDescent="0.35"/>
    <row r="14" spans="1:48" x14ac:dyDescent="0.35">
      <c r="A14" t="str">
        <f>Officials!A2</f>
        <v>A</v>
      </c>
      <c r="C14" t="str">
        <f>Officials!D2</f>
        <v>Blažek</v>
      </c>
      <c r="D14" t="str">
        <f>Officials!C2</f>
        <v>Jan</v>
      </c>
      <c r="F14" s="2">
        <f>SUM(H14:AO14)</f>
        <v>15</v>
      </c>
      <c r="H14" s="3">
        <v>1</v>
      </c>
      <c r="I14" s="3"/>
      <c r="J14" s="3">
        <v>1</v>
      </c>
      <c r="K14" s="3">
        <v>1</v>
      </c>
      <c r="L14" s="3">
        <v>1</v>
      </c>
      <c r="M14" s="4"/>
      <c r="N14" s="4"/>
      <c r="O14" s="3">
        <v>1</v>
      </c>
      <c r="P14" s="3"/>
      <c r="Q14" s="4"/>
      <c r="R14" s="4"/>
      <c r="S14" s="4"/>
      <c r="T14" s="4"/>
      <c r="U14" s="4"/>
      <c r="V14" s="3">
        <v>1</v>
      </c>
      <c r="W14" s="3">
        <v>1</v>
      </c>
      <c r="X14" s="3">
        <v>1</v>
      </c>
      <c r="Y14" s="3"/>
      <c r="Z14" s="3">
        <v>1</v>
      </c>
      <c r="AA14" s="3"/>
      <c r="AB14" s="3">
        <v>1</v>
      </c>
      <c r="AC14" s="3"/>
      <c r="AD14" s="3"/>
      <c r="AE14" s="3"/>
      <c r="AF14" s="3">
        <v>1</v>
      </c>
      <c r="AG14" s="3"/>
      <c r="AH14" s="3"/>
      <c r="AI14" s="3">
        <v>1</v>
      </c>
      <c r="AJ14" s="3"/>
      <c r="AK14" s="3">
        <v>1</v>
      </c>
      <c r="AL14" s="3">
        <v>1</v>
      </c>
      <c r="AM14" s="3"/>
      <c r="AN14" s="3">
        <v>1</v>
      </c>
      <c r="AO14" s="3"/>
      <c r="AQ14" s="2">
        <f t="shared" ref="AQ14:AQ27" si="1">F14</f>
        <v>15</v>
      </c>
      <c r="AS14" t="str">
        <f t="shared" ref="AS14:AS27" si="2">A14</f>
        <v>A</v>
      </c>
      <c r="AU14" t="str">
        <f t="shared" ref="AU14:AU27" si="3">D14</f>
        <v>Jan</v>
      </c>
      <c r="AV14" t="str">
        <f t="shared" ref="AV14:AV27" si="4">C14</f>
        <v>Blažek</v>
      </c>
    </row>
    <row r="15" spans="1:48" x14ac:dyDescent="0.35">
      <c r="A15" t="str">
        <f>Officials!A3</f>
        <v>B</v>
      </c>
      <c r="C15" t="str">
        <f>Officials!D3</f>
        <v>Činčura</v>
      </c>
      <c r="D15" t="str">
        <f>Officials!C3</f>
        <v>Jindřich</v>
      </c>
      <c r="F15" s="2">
        <f>SUM(H15:AO15)</f>
        <v>14</v>
      </c>
      <c r="H15" s="3"/>
      <c r="I15" s="3">
        <v>1</v>
      </c>
      <c r="J15" s="3"/>
      <c r="K15" s="3"/>
      <c r="L15" s="3"/>
      <c r="M15" s="3">
        <v>1</v>
      </c>
      <c r="N15" s="3">
        <v>1</v>
      </c>
      <c r="O15" s="3"/>
      <c r="P15" s="3"/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/>
      <c r="W15" s="3">
        <v>1</v>
      </c>
      <c r="X15" s="3">
        <v>1</v>
      </c>
      <c r="Y15" s="3"/>
      <c r="Z15" s="3">
        <v>1</v>
      </c>
      <c r="AA15" s="3"/>
      <c r="AB15" s="3"/>
      <c r="AC15" s="3"/>
      <c r="AD15" s="3"/>
      <c r="AE15" s="3"/>
      <c r="AF15" s="3"/>
      <c r="AG15" s="3">
        <v>1</v>
      </c>
      <c r="AH15" s="3"/>
      <c r="AI15" s="3"/>
      <c r="AJ15" s="3"/>
      <c r="AK15" s="3"/>
      <c r="AL15" s="3"/>
      <c r="AM15" s="3">
        <v>1</v>
      </c>
      <c r="AN15" s="3">
        <v>1</v>
      </c>
      <c r="AO15" s="3"/>
      <c r="AQ15" s="2">
        <f t="shared" si="1"/>
        <v>14</v>
      </c>
      <c r="AS15" t="str">
        <f t="shared" si="2"/>
        <v>B</v>
      </c>
      <c r="AU15" t="str">
        <f t="shared" si="3"/>
        <v>Jindřich</v>
      </c>
      <c r="AV15" t="str">
        <f t="shared" si="4"/>
        <v>Činčura</v>
      </c>
    </row>
    <row r="16" spans="1:48" x14ac:dyDescent="0.35">
      <c r="A16" t="str">
        <f>Officials!A4</f>
        <v>C</v>
      </c>
      <c r="C16" t="str">
        <f>Officials!D4</f>
        <v>Hána</v>
      </c>
      <c r="D16" t="str">
        <f>Officials!C4</f>
        <v>Vladimír</v>
      </c>
      <c r="F16" s="2">
        <f>SUM(H16:AO16)</f>
        <v>15</v>
      </c>
      <c r="H16" s="3"/>
      <c r="I16" s="3">
        <v>1</v>
      </c>
      <c r="J16" s="3"/>
      <c r="K16" s="3"/>
      <c r="L16" s="3">
        <v>1</v>
      </c>
      <c r="M16" s="3">
        <v>1</v>
      </c>
      <c r="N16" s="3">
        <v>1</v>
      </c>
      <c r="O16" s="3"/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/>
      <c r="X16" s="3">
        <v>1</v>
      </c>
      <c r="Y16" s="3">
        <v>1</v>
      </c>
      <c r="Z16" s="3"/>
      <c r="AA16" s="3"/>
      <c r="AB16" s="3"/>
      <c r="AC16" s="3">
        <v>1</v>
      </c>
      <c r="AD16" s="3"/>
      <c r="AE16" s="3"/>
      <c r="AF16" s="3"/>
      <c r="AG16" s="3"/>
      <c r="AH16" s="3"/>
      <c r="AI16" s="3"/>
      <c r="AJ16" s="3"/>
      <c r="AK16" s="3"/>
      <c r="AL16" s="3"/>
      <c r="AM16" s="3">
        <v>1</v>
      </c>
      <c r="AN16" s="3"/>
      <c r="AO16" s="3"/>
      <c r="AQ16" s="2">
        <f t="shared" si="1"/>
        <v>15</v>
      </c>
      <c r="AS16" t="str">
        <f t="shared" si="2"/>
        <v>C</v>
      </c>
      <c r="AU16" t="str">
        <f t="shared" si="3"/>
        <v>Vladimír</v>
      </c>
      <c r="AV16" t="str">
        <f t="shared" si="4"/>
        <v>Hána</v>
      </c>
    </row>
    <row r="17" spans="1:48" x14ac:dyDescent="0.35">
      <c r="A17" t="str">
        <f>Officials!A5</f>
        <v>D</v>
      </c>
      <c r="C17" t="str">
        <f>Officials!D5</f>
        <v>Holý</v>
      </c>
      <c r="D17" t="str">
        <f>Officials!C5</f>
        <v>Oldřich</v>
      </c>
      <c r="F17" s="2">
        <f>SUM(H17:AO17)</f>
        <v>15</v>
      </c>
      <c r="H17" s="3"/>
      <c r="I17" s="3"/>
      <c r="J17" s="3"/>
      <c r="K17" s="3">
        <v>1</v>
      </c>
      <c r="L17" s="3"/>
      <c r="M17" s="3">
        <v>1</v>
      </c>
      <c r="N17" s="3">
        <v>1</v>
      </c>
      <c r="O17" s="3">
        <v>1</v>
      </c>
      <c r="P17" s="3"/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/>
      <c r="W17" s="3">
        <v>1</v>
      </c>
      <c r="X17" s="3"/>
      <c r="Y17" s="3"/>
      <c r="Z17" s="3"/>
      <c r="AA17" s="3"/>
      <c r="AB17" s="3"/>
      <c r="AC17" s="3"/>
      <c r="AD17" s="3"/>
      <c r="AE17" s="3"/>
      <c r="AF17" s="3">
        <v>1</v>
      </c>
      <c r="AG17" s="3">
        <v>1</v>
      </c>
      <c r="AH17" s="3"/>
      <c r="AI17" s="3"/>
      <c r="AJ17" s="3"/>
      <c r="AK17" s="3">
        <v>1</v>
      </c>
      <c r="AL17" s="3"/>
      <c r="AM17" s="3">
        <v>1</v>
      </c>
      <c r="AN17" s="3"/>
      <c r="AO17" s="3">
        <v>1</v>
      </c>
      <c r="AQ17" s="2">
        <f t="shared" si="1"/>
        <v>15</v>
      </c>
      <c r="AS17" t="str">
        <f t="shared" si="2"/>
        <v>D</v>
      </c>
      <c r="AU17" t="str">
        <f t="shared" si="3"/>
        <v>Oldřich</v>
      </c>
      <c r="AV17" t="str">
        <f t="shared" si="4"/>
        <v>Holý</v>
      </c>
    </row>
    <row r="18" spans="1:48" x14ac:dyDescent="0.35">
      <c r="A18" t="str">
        <f>Officials!A6</f>
        <v>E</v>
      </c>
      <c r="C18" t="str">
        <f>Officials!D6</f>
        <v>Jadlovský</v>
      </c>
      <c r="D18" t="str">
        <f>Officials!C6</f>
        <v>Jan</v>
      </c>
      <c r="F18" s="2">
        <f>SUM(H18:AO18)</f>
        <v>14</v>
      </c>
      <c r="H18" s="3"/>
      <c r="I18" s="3"/>
      <c r="J18" s="3">
        <v>1</v>
      </c>
      <c r="K18" s="3">
        <v>1</v>
      </c>
      <c r="L18" s="3"/>
      <c r="M18" s="3">
        <v>1</v>
      </c>
      <c r="N18" s="3">
        <v>1</v>
      </c>
      <c r="O18" s="3">
        <v>1</v>
      </c>
      <c r="P18" s="3"/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/>
      <c r="W18" s="3"/>
      <c r="X18" s="3"/>
      <c r="Y18" s="3">
        <v>1</v>
      </c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>
        <v>1</v>
      </c>
      <c r="AO18" s="3">
        <v>1</v>
      </c>
      <c r="AQ18" s="2">
        <f t="shared" si="1"/>
        <v>14</v>
      </c>
      <c r="AS18" t="str">
        <f t="shared" si="2"/>
        <v>E</v>
      </c>
      <c r="AU18" t="str">
        <f t="shared" si="3"/>
        <v>Jan</v>
      </c>
      <c r="AV18" t="str">
        <f t="shared" si="4"/>
        <v>Jadlovský</v>
      </c>
    </row>
    <row r="19" spans="1:48" x14ac:dyDescent="0.35">
      <c r="A19" t="str">
        <f>Officials!A7</f>
        <v>F</v>
      </c>
      <c r="C19" t="str">
        <f>Officials!D7</f>
        <v>Mücková</v>
      </c>
      <c r="D19" t="str">
        <f>Officials!C7</f>
        <v>Kristýna</v>
      </c>
      <c r="F19" s="2">
        <f>SUM(H19:AO19)</f>
        <v>12</v>
      </c>
      <c r="H19" s="3">
        <v>1</v>
      </c>
      <c r="I19" s="3"/>
      <c r="J19" s="3">
        <v>1</v>
      </c>
      <c r="K19" s="3"/>
      <c r="L19" s="3"/>
      <c r="M19" s="3">
        <v>1</v>
      </c>
      <c r="N19" s="3">
        <v>1</v>
      </c>
      <c r="O19" s="3"/>
      <c r="P19" s="3"/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/>
      <c r="W19" s="3">
        <v>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1</v>
      </c>
      <c r="AK19" s="3"/>
      <c r="AL19" s="3"/>
      <c r="AM19" s="3"/>
      <c r="AN19" s="3"/>
      <c r="AO19" s="3">
        <v>1</v>
      </c>
      <c r="AQ19" s="2">
        <f t="shared" si="1"/>
        <v>12</v>
      </c>
      <c r="AS19" t="str">
        <f t="shared" si="2"/>
        <v>F</v>
      </c>
      <c r="AU19" t="str">
        <f t="shared" si="3"/>
        <v>Kristýna</v>
      </c>
      <c r="AV19" t="str">
        <f t="shared" si="4"/>
        <v>Mücková</v>
      </c>
    </row>
    <row r="20" spans="1:48" x14ac:dyDescent="0.35">
      <c r="A20" t="str">
        <f>Officials!A8</f>
        <v>G</v>
      </c>
      <c r="C20" t="str">
        <f>Officials!D8</f>
        <v>Pixa</v>
      </c>
      <c r="D20" t="str">
        <f>Officials!C8</f>
        <v>Jiří</v>
      </c>
      <c r="F20" s="2">
        <f>SUM(H20:AO20)</f>
        <v>14</v>
      </c>
      <c r="H20" s="3"/>
      <c r="I20" s="3">
        <v>1</v>
      </c>
      <c r="J20" s="3"/>
      <c r="K20" s="3">
        <v>1</v>
      </c>
      <c r="L20" s="3"/>
      <c r="M20" s="3">
        <v>1</v>
      </c>
      <c r="N20" s="3">
        <v>1</v>
      </c>
      <c r="O20" s="3"/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/>
      <c r="W20" s="3"/>
      <c r="X20" s="3"/>
      <c r="Y20" s="3"/>
      <c r="Z20" s="3"/>
      <c r="AA20" s="3"/>
      <c r="AB20" s="3"/>
      <c r="AC20" s="3">
        <v>1</v>
      </c>
      <c r="AD20" s="3"/>
      <c r="AE20" s="3">
        <v>1</v>
      </c>
      <c r="AF20" s="3"/>
      <c r="AG20" s="3"/>
      <c r="AH20" s="3">
        <v>1</v>
      </c>
      <c r="AI20" s="3"/>
      <c r="AJ20" s="3"/>
      <c r="AK20" s="3"/>
      <c r="AL20" s="3"/>
      <c r="AM20" s="3"/>
      <c r="AN20" s="3"/>
      <c r="AO20" s="3">
        <v>1</v>
      </c>
      <c r="AQ20" s="2">
        <f t="shared" si="1"/>
        <v>14</v>
      </c>
      <c r="AS20" t="str">
        <f t="shared" si="2"/>
        <v>G</v>
      </c>
      <c r="AU20" t="str">
        <f t="shared" si="3"/>
        <v>Jiří</v>
      </c>
      <c r="AV20" t="str">
        <f t="shared" si="4"/>
        <v>Pixa</v>
      </c>
    </row>
    <row r="21" spans="1:48" x14ac:dyDescent="0.35">
      <c r="A21" t="str">
        <f>Officials!A9</f>
        <v>H</v>
      </c>
      <c r="C21" t="str">
        <f>Officials!D9</f>
        <v>Sedlecká</v>
      </c>
      <c r="D21" t="str">
        <f>Officials!C9</f>
        <v>Veronika</v>
      </c>
      <c r="F21" s="2">
        <f>SUM(H21:AO21)</f>
        <v>15</v>
      </c>
      <c r="H21" s="3">
        <v>1</v>
      </c>
      <c r="I21" s="3">
        <v>1</v>
      </c>
      <c r="J21" s="3"/>
      <c r="K21" s="3"/>
      <c r="L21" s="3"/>
      <c r="M21" s="4"/>
      <c r="N21" s="4"/>
      <c r="O21" s="3">
        <v>1</v>
      </c>
      <c r="P21" s="3">
        <v>1</v>
      </c>
      <c r="Q21" s="4"/>
      <c r="R21" s="4"/>
      <c r="S21" s="4"/>
      <c r="T21" s="4"/>
      <c r="U21" s="4"/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/>
      <c r="AB21" s="3">
        <v>1</v>
      </c>
      <c r="AC21" s="3"/>
      <c r="AD21" s="3">
        <v>1</v>
      </c>
      <c r="AE21" s="3"/>
      <c r="AF21" s="3"/>
      <c r="AG21" s="3">
        <v>1</v>
      </c>
      <c r="AH21" s="3">
        <v>1</v>
      </c>
      <c r="AI21" s="3">
        <v>1</v>
      </c>
      <c r="AJ21" s="3">
        <v>1</v>
      </c>
      <c r="AK21" s="3"/>
      <c r="AL21" s="3"/>
      <c r="AM21" s="3"/>
      <c r="AN21" s="5"/>
      <c r="AO21" s="3"/>
      <c r="AQ21" s="2">
        <f t="shared" si="1"/>
        <v>15</v>
      </c>
      <c r="AS21" t="str">
        <f t="shared" si="2"/>
        <v>H</v>
      </c>
      <c r="AU21" t="str">
        <f t="shared" si="3"/>
        <v>Veronika</v>
      </c>
      <c r="AV21" t="str">
        <f t="shared" si="4"/>
        <v>Sedlecká</v>
      </c>
    </row>
    <row r="22" spans="1:48" x14ac:dyDescent="0.35">
      <c r="A22" t="str">
        <f>Officials!A10</f>
        <v>I</v>
      </c>
      <c r="C22" t="str">
        <f>Officials!D10</f>
        <v>Sekera</v>
      </c>
      <c r="D22" t="str">
        <f>Officials!C10</f>
        <v>Jan Carlos</v>
      </c>
      <c r="F22" s="2">
        <f>SUM(H22:AO22)</f>
        <v>15</v>
      </c>
      <c r="H22" s="3">
        <v>1</v>
      </c>
      <c r="I22" s="4"/>
      <c r="J22" s="3">
        <v>1</v>
      </c>
      <c r="K22" s="4"/>
      <c r="L22" s="3">
        <v>1</v>
      </c>
      <c r="M22" s="4"/>
      <c r="N22" s="4"/>
      <c r="O22" s="4"/>
      <c r="P22" s="3">
        <v>1</v>
      </c>
      <c r="Q22" s="4"/>
      <c r="R22" s="4"/>
      <c r="S22" s="4"/>
      <c r="T22" s="4"/>
      <c r="U22" s="4"/>
      <c r="V22" s="4"/>
      <c r="W22" s="3"/>
      <c r="X22" s="4"/>
      <c r="Y22" s="3"/>
      <c r="Z22" s="3"/>
      <c r="AA22" s="3">
        <v>1</v>
      </c>
      <c r="AB22" s="3"/>
      <c r="AC22" s="3">
        <v>1</v>
      </c>
      <c r="AD22" s="3">
        <v>1</v>
      </c>
      <c r="AE22" s="3">
        <v>1</v>
      </c>
      <c r="AF22" s="3"/>
      <c r="AG22" s="3"/>
      <c r="AH22" s="3">
        <v>1</v>
      </c>
      <c r="AI22" s="3"/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1</v>
      </c>
      <c r="AQ22" s="2">
        <f t="shared" si="1"/>
        <v>15</v>
      </c>
      <c r="AS22" t="str">
        <f t="shared" si="2"/>
        <v>I</v>
      </c>
      <c r="AU22" t="str">
        <f t="shared" si="3"/>
        <v>Jan Carlos</v>
      </c>
      <c r="AV22" t="str">
        <f t="shared" si="4"/>
        <v>Sekera</v>
      </c>
    </row>
    <row r="23" spans="1:48" x14ac:dyDescent="0.35">
      <c r="A23" t="str">
        <f>Officials!A11</f>
        <v>J</v>
      </c>
      <c r="C23" t="str">
        <f>Officials!D11</f>
        <v>Schuller</v>
      </c>
      <c r="D23" t="str">
        <f>Officials!C11</f>
        <v>Jakub</v>
      </c>
      <c r="F23" s="2">
        <f>SUM(H23:AO23)</f>
        <v>15</v>
      </c>
      <c r="H23" s="5"/>
      <c r="I23" s="3">
        <v>1</v>
      </c>
      <c r="J23" s="3">
        <v>1</v>
      </c>
      <c r="K23" s="3"/>
      <c r="L23" s="3">
        <v>1</v>
      </c>
      <c r="M23" s="4"/>
      <c r="N23" s="4"/>
      <c r="O23" s="3">
        <v>1</v>
      </c>
      <c r="P23" s="3">
        <v>1</v>
      </c>
      <c r="Q23" s="4"/>
      <c r="R23" s="4"/>
      <c r="S23" s="4"/>
      <c r="T23" s="4"/>
      <c r="U23" s="4"/>
      <c r="V23" s="3">
        <v>1</v>
      </c>
      <c r="W23" s="3"/>
      <c r="X23" s="3"/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/>
      <c r="AE23" s="3">
        <v>1</v>
      </c>
      <c r="AF23" s="3">
        <v>1</v>
      </c>
      <c r="AG23" s="3"/>
      <c r="AH23" s="3"/>
      <c r="AI23" s="3">
        <v>1</v>
      </c>
      <c r="AJ23" s="3"/>
      <c r="AK23" s="3"/>
      <c r="AL23" s="3"/>
      <c r="AM23" s="3">
        <v>1</v>
      </c>
      <c r="AN23" s="3"/>
      <c r="AO23" s="3"/>
      <c r="AQ23" s="2">
        <f t="shared" si="1"/>
        <v>15</v>
      </c>
      <c r="AS23" t="str">
        <f t="shared" si="2"/>
        <v>J</v>
      </c>
      <c r="AU23" t="str">
        <f t="shared" si="3"/>
        <v>Jakub</v>
      </c>
      <c r="AV23" t="str">
        <f t="shared" si="4"/>
        <v>Schuller</v>
      </c>
    </row>
    <row r="24" spans="1:48" x14ac:dyDescent="0.35">
      <c r="A24" t="str">
        <f>Officials!A12</f>
        <v>K</v>
      </c>
      <c r="C24" t="str">
        <f>Officials!D12</f>
        <v>Šebková</v>
      </c>
      <c r="D24" t="str">
        <f>Officials!C12</f>
        <v>Kateřina</v>
      </c>
      <c r="F24" s="2">
        <f>SUM(H24:AO24)</f>
        <v>15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4"/>
      <c r="N24" s="4"/>
      <c r="O24" s="3">
        <v>1</v>
      </c>
      <c r="P24" s="3">
        <v>1</v>
      </c>
      <c r="Q24" s="4"/>
      <c r="R24" s="4"/>
      <c r="S24" s="4"/>
      <c r="T24" s="4"/>
      <c r="U24" s="4"/>
      <c r="V24" s="3">
        <v>1</v>
      </c>
      <c r="W24" s="3">
        <v>1</v>
      </c>
      <c r="X24" s="3"/>
      <c r="Y24" s="3"/>
      <c r="Z24" s="3"/>
      <c r="AA24" s="3">
        <v>1</v>
      </c>
      <c r="AB24" s="3">
        <v>1</v>
      </c>
      <c r="AC24" s="3"/>
      <c r="AD24" s="3">
        <v>1</v>
      </c>
      <c r="AE24" s="3"/>
      <c r="AF24" s="3"/>
      <c r="AG24" s="3"/>
      <c r="AH24" s="3">
        <v>1</v>
      </c>
      <c r="AI24" s="3"/>
      <c r="AJ24" s="3">
        <v>1</v>
      </c>
      <c r="AK24" s="3"/>
      <c r="AL24" s="3">
        <v>1</v>
      </c>
      <c r="AM24" s="3"/>
      <c r="AN24" s="3"/>
      <c r="AO24" s="3"/>
      <c r="AQ24" s="2">
        <f t="shared" si="1"/>
        <v>15</v>
      </c>
      <c r="AS24" t="str">
        <f t="shared" si="2"/>
        <v>K</v>
      </c>
      <c r="AU24" t="str">
        <f t="shared" si="3"/>
        <v>Kateřina</v>
      </c>
      <c r="AV24" t="str">
        <f t="shared" si="4"/>
        <v>Šebková</v>
      </c>
    </row>
    <row r="25" spans="1:48" hidden="1" x14ac:dyDescent="0.35">
      <c r="A25" t="str">
        <f>Officials!A13</f>
        <v>L</v>
      </c>
      <c r="C25" t="str">
        <f>Officials!D13</f>
        <v>Třeštiková</v>
      </c>
      <c r="D25" t="str">
        <f>Officials!C13</f>
        <v>Andrea</v>
      </c>
      <c r="F25" s="2">
        <f>SUM(H25:AO25)</f>
        <v>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>
        <v>1</v>
      </c>
      <c r="X25" s="4">
        <v>1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Q25" s="2">
        <f t="shared" si="1"/>
        <v>2</v>
      </c>
      <c r="AS25" t="str">
        <f t="shared" si="2"/>
        <v>L</v>
      </c>
      <c r="AU25" t="str">
        <f t="shared" si="3"/>
        <v>Andrea</v>
      </c>
      <c r="AV25" t="str">
        <f t="shared" si="4"/>
        <v>Třeštiková</v>
      </c>
    </row>
    <row r="26" spans="1:48" x14ac:dyDescent="0.35">
      <c r="A26" t="str">
        <f>Officials!A14</f>
        <v>M</v>
      </c>
      <c r="C26" t="str">
        <f>Officials!D14</f>
        <v>Varnuška</v>
      </c>
      <c r="D26" t="str">
        <f>Officials!C14</f>
        <v>Michal</v>
      </c>
      <c r="F26" s="2">
        <f>SUM(H26:AO26)</f>
        <v>14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4"/>
      <c r="N26" s="4"/>
      <c r="O26" s="3">
        <v>1</v>
      </c>
      <c r="P26" s="3">
        <v>1</v>
      </c>
      <c r="Q26" s="4"/>
      <c r="R26" s="4"/>
      <c r="S26" s="4"/>
      <c r="T26" s="4"/>
      <c r="U26" s="4"/>
      <c r="V26" s="3">
        <v>1</v>
      </c>
      <c r="W26" s="3"/>
      <c r="X26" s="3">
        <v>1</v>
      </c>
      <c r="Y26" s="5"/>
      <c r="Z26" s="5"/>
      <c r="AA26" s="3"/>
      <c r="AB26" s="3">
        <v>1</v>
      </c>
      <c r="AC26" s="5"/>
      <c r="AD26" s="3"/>
      <c r="AE26" s="3">
        <v>1</v>
      </c>
      <c r="AF26" s="3">
        <v>1</v>
      </c>
      <c r="AG26" s="3"/>
      <c r="AH26" s="3"/>
      <c r="AI26" s="3">
        <v>1</v>
      </c>
      <c r="AJ26" s="3"/>
      <c r="AK26" s="3"/>
      <c r="AL26" s="3">
        <v>1</v>
      </c>
      <c r="AM26" s="3"/>
      <c r="AN26" s="3"/>
      <c r="AO26" s="3"/>
      <c r="AQ26" s="2">
        <f t="shared" si="1"/>
        <v>14</v>
      </c>
      <c r="AS26" t="str">
        <f t="shared" si="2"/>
        <v>M</v>
      </c>
      <c r="AU26" t="str">
        <f t="shared" si="3"/>
        <v>Michal</v>
      </c>
      <c r="AV26" t="str">
        <f t="shared" si="4"/>
        <v>Varnuška</v>
      </c>
    </row>
    <row r="27" spans="1:48" x14ac:dyDescent="0.35">
      <c r="A27" t="str">
        <f>Officials!A15</f>
        <v>N</v>
      </c>
      <c r="C27" t="str">
        <f>Officials!D15</f>
        <v>Vejchar</v>
      </c>
      <c r="D27" t="str">
        <f>Officials!C15</f>
        <v>David</v>
      </c>
      <c r="F27" s="2">
        <f>SUM(H27:AO27)</f>
        <v>14</v>
      </c>
      <c r="H27" s="3">
        <v>1</v>
      </c>
      <c r="I27" s="3"/>
      <c r="J27" s="3"/>
      <c r="K27" s="3">
        <v>1</v>
      </c>
      <c r="L27" s="3">
        <v>1</v>
      </c>
      <c r="M27" s="3">
        <v>1</v>
      </c>
      <c r="N27" s="3">
        <v>1</v>
      </c>
      <c r="O27" s="3"/>
      <c r="P27" s="3"/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/>
      <c r="X27" s="3">
        <v>1</v>
      </c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>
        <v>1</v>
      </c>
      <c r="AL27" s="3"/>
      <c r="AM27" s="3"/>
      <c r="AN27" s="3"/>
      <c r="AO27" s="3"/>
      <c r="AQ27" s="2">
        <f t="shared" si="1"/>
        <v>14</v>
      </c>
      <c r="AS27" t="str">
        <f t="shared" si="2"/>
        <v>N</v>
      </c>
      <c r="AU27" t="str">
        <f t="shared" si="3"/>
        <v>David</v>
      </c>
      <c r="AV27" t="str">
        <f t="shared" si="4"/>
        <v>Vejchar</v>
      </c>
    </row>
    <row r="28" spans="1:48" x14ac:dyDescent="0.35">
      <c r="A28" t="s">
        <v>204</v>
      </c>
      <c r="C28" t="s">
        <v>198</v>
      </c>
      <c r="D28" t="s">
        <v>28</v>
      </c>
      <c r="F28" s="2">
        <f>SUM(H28:AO28)</f>
        <v>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AA28">
        <v>1</v>
      </c>
      <c r="AC28">
        <v>1</v>
      </c>
      <c r="AD28" s="3">
        <v>1</v>
      </c>
      <c r="AG28">
        <v>1</v>
      </c>
      <c r="AH28">
        <v>1</v>
      </c>
      <c r="AJ28">
        <v>1</v>
      </c>
      <c r="AQ28" s="2">
        <f t="shared" ref="AQ28:AQ29" si="5">F28</f>
        <v>6</v>
      </c>
      <c r="AS28" t="str">
        <f>A28</f>
        <v>O</v>
      </c>
      <c r="AU28" t="str">
        <f t="shared" ref="AU28:AU29" si="6">D28</f>
        <v>Vladimír</v>
      </c>
      <c r="AV28" t="str">
        <f t="shared" ref="AV28:AV29" si="7">C28</f>
        <v>Hána ml.</v>
      </c>
    </row>
    <row r="29" spans="1:48" x14ac:dyDescent="0.35">
      <c r="A29" t="s">
        <v>205</v>
      </c>
      <c r="C29" t="s">
        <v>199</v>
      </c>
      <c r="D29" t="s">
        <v>200</v>
      </c>
      <c r="F29" s="2">
        <f>SUM(H29:AO29)</f>
        <v>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>
        <v>1</v>
      </c>
      <c r="AA29">
        <v>1</v>
      </c>
      <c r="AE29">
        <v>1</v>
      </c>
      <c r="AF29">
        <v>1</v>
      </c>
      <c r="AG29">
        <v>1</v>
      </c>
      <c r="AI29">
        <v>1</v>
      </c>
      <c r="AK29">
        <v>1</v>
      </c>
      <c r="AL29">
        <v>1</v>
      </c>
      <c r="AN29">
        <v>1</v>
      </c>
      <c r="AQ29" s="2">
        <f t="shared" si="5"/>
        <v>9</v>
      </c>
      <c r="AS29" t="str">
        <f t="shared" ref="AS29" si="8">A29</f>
        <v>P</v>
      </c>
      <c r="AU29" t="str">
        <f t="shared" si="6"/>
        <v>Barbora</v>
      </c>
      <c r="AV29" t="str">
        <f t="shared" si="7"/>
        <v>Kučvová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Officials</vt:lpstr>
      <vt:lpstr>Judges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</dc:creator>
  <cp:lastModifiedBy>Jana Varnušková</cp:lastModifiedBy>
  <dcterms:created xsi:type="dcterms:W3CDTF">2025-12-15T23:34:51Z</dcterms:created>
  <dcterms:modified xsi:type="dcterms:W3CDTF">2025-12-18T22:59:13Z</dcterms:modified>
</cp:coreProperties>
</file>